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5955" windowWidth="28365" windowHeight="5895"/>
  </bookViews>
  <sheets>
    <sheet name="CODES1" sheetId="1" r:id="rId1"/>
  </sheets>
  <definedNames>
    <definedName name="_xlnm._FilterDatabase" localSheetId="0" hidden="1">CODES1!$A$1:$C$1560</definedName>
  </definedNames>
  <calcPr calcId="145621"/>
</workbook>
</file>

<file path=xl/calcChain.xml><?xml version="1.0" encoding="utf-8"?>
<calcChain xmlns="http://schemas.openxmlformats.org/spreadsheetml/2006/main">
  <c r="A1208" i="1" l="1"/>
  <c r="A1211" i="1"/>
  <c r="A1209" i="1"/>
  <c r="A517" i="1"/>
  <c r="A412" i="1"/>
  <c r="A410" i="1"/>
  <c r="A1210" i="1" l="1"/>
  <c r="A1207" i="1"/>
  <c r="A1523" i="1" l="1"/>
  <c r="A1526" i="1"/>
  <c r="A1517" i="1" l="1"/>
  <c r="A1515" i="1"/>
  <c r="A1496" i="1"/>
  <c r="A1495" i="1"/>
  <c r="A1479" i="1"/>
  <c r="A1471" i="1"/>
  <c r="A1451" i="1"/>
  <c r="A1446" i="1"/>
  <c r="A1420" i="1"/>
  <c r="A1418" i="1"/>
  <c r="A1346" i="1"/>
  <c r="A1345" i="1"/>
  <c r="A1326" i="1"/>
  <c r="A1202" i="1"/>
  <c r="A1196" i="1"/>
  <c r="A1192" i="1"/>
  <c r="A1183" i="1"/>
  <c r="A1177" i="1"/>
  <c r="A1176" i="1"/>
  <c r="A1173" i="1"/>
  <c r="A1140" i="1"/>
  <c r="A1101" i="1"/>
  <c r="A1062" i="1"/>
  <c r="A551" i="1"/>
  <c r="A1049" i="1"/>
  <c r="A994" i="1"/>
  <c r="A993" i="1"/>
  <c r="A977" i="1"/>
  <c r="A972" i="1"/>
  <c r="A969" i="1"/>
  <c r="A968" i="1"/>
  <c r="A936" i="1"/>
  <c r="A892" i="1"/>
  <c r="A870" i="1"/>
  <c r="A869" i="1"/>
  <c r="A868" i="1"/>
  <c r="A867" i="1"/>
  <c r="A865" i="1"/>
  <c r="A850" i="1"/>
  <c r="A824" i="1"/>
  <c r="A823" i="1"/>
  <c r="A822" i="1"/>
  <c r="A780" i="1"/>
  <c r="A753" i="1"/>
  <c r="A725" i="1"/>
  <c r="A679" i="1"/>
  <c r="A660" i="1"/>
  <c r="A628" i="1"/>
  <c r="A627" i="1"/>
  <c r="A601" i="1"/>
  <c r="A582" i="1"/>
  <c r="A553" i="1"/>
  <c r="A542" i="1"/>
  <c r="A541" i="1"/>
  <c r="A516" i="1"/>
  <c r="A411" i="1"/>
  <c r="A409" i="1"/>
  <c r="A402" i="1"/>
  <c r="A373" i="1"/>
  <c r="A372" i="1"/>
  <c r="A344" i="1"/>
  <c r="A3" i="1"/>
  <c r="A2" i="1"/>
</calcChain>
</file>

<file path=xl/sharedStrings.xml><?xml version="1.0" encoding="utf-8"?>
<sst xmlns="http://schemas.openxmlformats.org/spreadsheetml/2006/main" count="3080" uniqueCount="3001">
  <si>
    <t>Code</t>
  </si>
  <si>
    <t>Description</t>
  </si>
  <si>
    <t>Section</t>
  </si>
  <si>
    <t>01.1.1.1.1</t>
  </si>
  <si>
    <t>Dried rice</t>
  </si>
  <si>
    <t>01.1.1.1.2</t>
  </si>
  <si>
    <t>Cooked rice</t>
  </si>
  <si>
    <t>01.1.1.1.3</t>
  </si>
  <si>
    <t>Rice cakes</t>
  </si>
  <si>
    <t>01.1.1.3.1.1</t>
  </si>
  <si>
    <t>WHITE PAN - SLICED</t>
  </si>
  <si>
    <t>01.1.1.3.1.2</t>
  </si>
  <si>
    <t>WHITE PAN - UNSLICED</t>
  </si>
  <si>
    <t>01.1.1.3.2</t>
  </si>
  <si>
    <t>Soda bread</t>
  </si>
  <si>
    <t>01.1.1.3.3.1</t>
  </si>
  <si>
    <t>Brown PAN - SLICED</t>
  </si>
  <si>
    <t>01.1.1.3.3.2</t>
  </si>
  <si>
    <t>Brown PAN - UNSLICED</t>
  </si>
  <si>
    <t>01.1.1.3.4</t>
  </si>
  <si>
    <t>Wholemeal,wholegrain incl granary wholemeal &amp; 'granary' not spec - sliced &amp; unsliced</t>
  </si>
  <si>
    <t>01.1.1.3.5</t>
  </si>
  <si>
    <t>Rolls - white, brown, wholemeal</t>
  </si>
  <si>
    <t>01.1.1.3.6</t>
  </si>
  <si>
    <t>FRENCH BAGUETTE</t>
  </si>
  <si>
    <t>01.1.1.3.7</t>
  </si>
  <si>
    <t>SPECIALISED BREADS</t>
  </si>
  <si>
    <t>01.1.1.4.1</t>
  </si>
  <si>
    <t>Cream crackers and unsweetened biscuits</t>
  </si>
  <si>
    <t>01.1.1.4.2</t>
  </si>
  <si>
    <t>PLAIN BISCUITS</t>
  </si>
  <si>
    <t>01.1.1.4.3</t>
  </si>
  <si>
    <t>CHOCOLATE BISCUITS</t>
  </si>
  <si>
    <t>01.1.1.4.4</t>
  </si>
  <si>
    <t>OTHER SWEET BISCUITS</t>
  </si>
  <si>
    <t>01.1.1.4.5</t>
  </si>
  <si>
    <t>FRUIT CAKE</t>
  </si>
  <si>
    <t>01.1.1.4.6</t>
  </si>
  <si>
    <t>SWISS ROLLS &amp; CHOCOLATE LOGS</t>
  </si>
  <si>
    <t>01.1.1.4.7</t>
  </si>
  <si>
    <t>OTHER SMALL CAKES &amp; BUNS</t>
  </si>
  <si>
    <t>01.1.1.4.8</t>
  </si>
  <si>
    <t>LARGE FRESH CAKES OR FRUIT PIES/TARTS</t>
  </si>
  <si>
    <t>01.1.1.4.9</t>
  </si>
  <si>
    <t>Other bakery products NEC</t>
  </si>
  <si>
    <t>01.1.1.5.1</t>
  </si>
  <si>
    <t>PIZZA</t>
  </si>
  <si>
    <t>01.1.1.5.2</t>
  </si>
  <si>
    <t>QUICHES AND FLANS</t>
  </si>
  <si>
    <t>01.1.1.6.1</t>
  </si>
  <si>
    <t>NOODLES</t>
  </si>
  <si>
    <t>01.1.1.6.2</t>
  </si>
  <si>
    <t>SPAGHETTI</t>
  </si>
  <si>
    <t>01.1.1.6.3</t>
  </si>
  <si>
    <t>Other pasta products</t>
  </si>
  <si>
    <t>01.1.1.7.1</t>
  </si>
  <si>
    <t>CORNFLAKES</t>
  </si>
  <si>
    <t>01.1.1.7.2</t>
  </si>
  <si>
    <t>RICE KRISPIES</t>
  </si>
  <si>
    <t>01.1.1.7.3</t>
  </si>
  <si>
    <t>WHEAT BASED BREAKFAST CEREALS</t>
  </si>
  <si>
    <t>01.1.1.7.4</t>
  </si>
  <si>
    <t>MUESLI</t>
  </si>
  <si>
    <t>01.1.1.7.5</t>
  </si>
  <si>
    <t>CHILDREN'S SUGAR/CHOCOLATE CEREALS</t>
  </si>
  <si>
    <t>01.1.1.7.6</t>
  </si>
  <si>
    <t>OAT BASED BREAKFAST CEREALS</t>
  </si>
  <si>
    <t>01.1.1.8.1</t>
  </si>
  <si>
    <t>BREAD &amp; CAKE MIXES</t>
  </si>
  <si>
    <t>01.1.1.8.2</t>
  </si>
  <si>
    <t>CEREAL BARS</t>
  </si>
  <si>
    <t>01.1.1.8.3</t>
  </si>
  <si>
    <t>Popcorn</t>
  </si>
  <si>
    <t>01.1.1.8.4</t>
  </si>
  <si>
    <t>Cereal snacks excluding popcorn</t>
  </si>
  <si>
    <t>01.1.1.8.5</t>
  </si>
  <si>
    <t>Other cereal products</t>
  </si>
  <si>
    <t>01.1.2.1.1</t>
  </si>
  <si>
    <t>Beef joints inc on the bone</t>
  </si>
  <si>
    <t>01.1.2.1.2.1</t>
  </si>
  <si>
    <t>Roast beef - topside/rib</t>
  </si>
  <si>
    <t>01.1.2.1.2.2</t>
  </si>
  <si>
    <t>Other beef joints - boned</t>
  </si>
  <si>
    <t>01.1.2.1.3.1</t>
  </si>
  <si>
    <t>Sliced/diced beef pieces</t>
  </si>
  <si>
    <t>01.1.2.1.3.2</t>
  </si>
  <si>
    <t>Other stewing or braising steak</t>
  </si>
  <si>
    <t>01.1.2.1.4.1</t>
  </si>
  <si>
    <t>Sirloin steak</t>
  </si>
  <si>
    <t>01.1.2.1.4.2</t>
  </si>
  <si>
    <t>Striploin steak</t>
  </si>
  <si>
    <t>01.1.2.1.4.3</t>
  </si>
  <si>
    <t>Other expensive beef steaks</t>
  </si>
  <si>
    <t>01.1.2.1.5</t>
  </si>
  <si>
    <t>All other beef and veal eg veal escalopes</t>
  </si>
  <si>
    <t>01.1.2.2.1</t>
  </si>
  <si>
    <t>Pork joints, inc sides</t>
  </si>
  <si>
    <t>01.1.2.2.2</t>
  </si>
  <si>
    <t>Pork chops</t>
  </si>
  <si>
    <t>01.1.2.2.3</t>
  </si>
  <si>
    <t>Pork fillets and steaks</t>
  </si>
  <si>
    <t>01.1.2.2.4</t>
  </si>
  <si>
    <t>All other pork - uncooked</t>
  </si>
  <si>
    <t>01.1.2.3.1</t>
  </si>
  <si>
    <t>Mutton</t>
  </si>
  <si>
    <t>01.1.2.3.2.1</t>
  </si>
  <si>
    <t>Lamb - leg</t>
  </si>
  <si>
    <t>01.1.2.3.2.2</t>
  </si>
  <si>
    <t>Other lamb joints</t>
  </si>
  <si>
    <t>01.1.2.3.4</t>
  </si>
  <si>
    <t>All other lamb eg minced, breast (NOT LAMB OFFAL eg NOT kidneys, liver, heart)</t>
  </si>
  <si>
    <t>01.1.2.4.1.1</t>
  </si>
  <si>
    <t>Chicken - whole - uncooked</t>
  </si>
  <si>
    <t>01.1.2.4.1.2</t>
  </si>
  <si>
    <t>Chicken breast fillet</t>
  </si>
  <si>
    <t>01.1.2.4.1.3</t>
  </si>
  <si>
    <t>Other chicken</t>
  </si>
  <si>
    <t>01.1.2.4.2</t>
  </si>
  <si>
    <t>Turkey - whole or parts eg mince, breast, steak, diced</t>
  </si>
  <si>
    <t>01.1.2.4.3</t>
  </si>
  <si>
    <t>Poultry - other than chicken or turkey eg duck, pheasant, goose</t>
  </si>
  <si>
    <t>01.1.2.5.1</t>
  </si>
  <si>
    <t>Other fresh/chilled/frozen meat - eg rabbit, venison</t>
  </si>
  <si>
    <t>01.1.2.6.1</t>
  </si>
  <si>
    <t>Ox liver</t>
  </si>
  <si>
    <t>01.1.2.6.2</t>
  </si>
  <si>
    <t>Lambs liver</t>
  </si>
  <si>
    <t>01.1.2.6.3</t>
  </si>
  <si>
    <t>Pigs liver</t>
  </si>
  <si>
    <t>01.1.2.6.4</t>
  </si>
  <si>
    <t>All other liver eg calf liver, chicken liver</t>
  </si>
  <si>
    <t>01.1.2.6.5</t>
  </si>
  <si>
    <t>All offal other than liver eg kidney, heart, tripe, brain, sweetbread, tongue, oxtail, trotters</t>
  </si>
  <si>
    <t>01.1.2.7.1</t>
  </si>
  <si>
    <t>Bacon &amp; ham joints</t>
  </si>
  <si>
    <t>01.1.2.7.2</t>
  </si>
  <si>
    <t>Bacon and Gammon steaks</t>
  </si>
  <si>
    <t>01.1.2.7.3</t>
  </si>
  <si>
    <t>Bacon &amp; ham rashers incl back bacon, middle, streaky</t>
  </si>
  <si>
    <t>01.1.2.7.4</t>
  </si>
  <si>
    <t>Sausages (uncooked) - pork</t>
  </si>
  <si>
    <t>01.1.2.7.5</t>
  </si>
  <si>
    <t>Sausages (uncooked) - not pork</t>
  </si>
  <si>
    <t>01.1.2.7.6</t>
  </si>
  <si>
    <t>Black/white pudding</t>
  </si>
  <si>
    <t>01.1.2.7.7</t>
  </si>
  <si>
    <t>Delicatessen type sausages (cooked or uncooked) eg liver sausage, salami, frankfurter, polony, saveloy, garlic sausage</t>
  </si>
  <si>
    <t>Burgers - frozen &amp; non-frozen - not takeaway</t>
  </si>
  <si>
    <t>01.1.2.8.10</t>
  </si>
  <si>
    <t>Meat pies, pasties &amp; puddings - FRESH AND FROZEN</t>
  </si>
  <si>
    <t>01.1.2.8.11</t>
  </si>
  <si>
    <t>Minced beef</t>
  </si>
  <si>
    <t>01.1.2.8.12</t>
  </si>
  <si>
    <t>Complete ready meals - FRESH AND FROZEN</t>
  </si>
  <si>
    <t>01.1.2.8.13</t>
  </si>
  <si>
    <t>Frozen chicken convenience products</t>
  </si>
  <si>
    <t>01.1.2.8.14</t>
  </si>
  <si>
    <t>Other convenience meat products FROZEN OR NOT FROZEN</t>
  </si>
  <si>
    <t>Pate</t>
  </si>
  <si>
    <t>Meat pastes and spreads</t>
  </si>
  <si>
    <t>Corned beef - canned or sliced</t>
  </si>
  <si>
    <t>Other canned meat &amp; canned meat products eg ham, ham &amp; pork, chopped pork, steak, luncheon meat, Irish stew, sausage &amp; beans</t>
  </si>
  <si>
    <t>Cooked chicken/ turkey eg chicken slices, turkey slices</t>
  </si>
  <si>
    <t>Cooked ham &amp; bacon eg sliced ham, honey roast ham, cooked bacon joint</t>
  </si>
  <si>
    <t>Other cooked meat eg luncheon meat, tongue, roast pork, pressed beef</t>
  </si>
  <si>
    <t>Sausage rolls - FRESH NOT FROZEN</t>
  </si>
  <si>
    <t>01.1.3.1.1</t>
  </si>
  <si>
    <t>Fresh fillet of whiting</t>
  </si>
  <si>
    <t>01.1.3.1.2</t>
  </si>
  <si>
    <t>Fresh fillet of cod</t>
  </si>
  <si>
    <t>01.1.3.1.3</t>
  </si>
  <si>
    <t>Fresh filled of plaice</t>
  </si>
  <si>
    <t>01.1.3.1.4</t>
  </si>
  <si>
    <t>Other White fish - fresh or chilled</t>
  </si>
  <si>
    <t>01.1.3.1.5</t>
  </si>
  <si>
    <t>Salmon - fresh or chilled</t>
  </si>
  <si>
    <t>01.1.3.1.6</t>
  </si>
  <si>
    <t>Herrings and other blue fish - fresh or chilled</t>
  </si>
  <si>
    <t>01.1.3.2.1</t>
  </si>
  <si>
    <t>White fish (frozen)</t>
  </si>
  <si>
    <t>01.1.3.2.2</t>
  </si>
  <si>
    <t>Salmon - frozen</t>
  </si>
  <si>
    <t>01.1.3.2.3</t>
  </si>
  <si>
    <t>Herrings and other blue fish - frozen</t>
  </si>
  <si>
    <t>01.1.3.3.1</t>
  </si>
  <si>
    <t>Shellfish - raw or cooked - fresh or chilled</t>
  </si>
  <si>
    <t>01.1.3.4.1</t>
  </si>
  <si>
    <t>Shellfish - raw or cooked - frozen</t>
  </si>
  <si>
    <t>01.1.3.5.1</t>
  </si>
  <si>
    <t>Smoked salmon</t>
  </si>
  <si>
    <t>01.1.3.5.2</t>
  </si>
  <si>
    <t>Smoked fish fillets (not salmon)</t>
  </si>
  <si>
    <t>01.1.3.5.3</t>
  </si>
  <si>
    <t>Dried or salted fish</t>
  </si>
  <si>
    <t>01.1.3.6.1</t>
  </si>
  <si>
    <t>Tinned salmon</t>
  </si>
  <si>
    <t>01.1.3.6.2</t>
  </si>
  <si>
    <t>Tinned tuna</t>
  </si>
  <si>
    <t>01.1.3.6.3</t>
  </si>
  <si>
    <t>Other tinned/bottled fish, seafood and shellfish</t>
  </si>
  <si>
    <t>01.1.3.6.4</t>
  </si>
  <si>
    <t>Frozen fish fingers</t>
  </si>
  <si>
    <t>01.1.3.6.5</t>
  </si>
  <si>
    <t>Fish ready meals and fish products</t>
  </si>
  <si>
    <t>01.1.4.1.1</t>
  </si>
  <si>
    <t>Fresh whole milk</t>
  </si>
  <si>
    <t>01.1.4.1.2</t>
  </si>
  <si>
    <t>UHT milk (whole milk only)</t>
  </si>
  <si>
    <t>01.1.4.1.3</t>
  </si>
  <si>
    <t>School milk</t>
  </si>
  <si>
    <t>01.1.4.2.1</t>
  </si>
  <si>
    <t>Fully-skimmed milk - incl UHT &amp; sterilised fully skimmed</t>
  </si>
  <si>
    <t>01.1.4.2.2</t>
  </si>
  <si>
    <t>Semi-skimmed milk - incl UHT &amp; sterilised semi-skimmed</t>
  </si>
  <si>
    <t>01.1.4.3.1</t>
  </si>
  <si>
    <t>Condensed and evaporated milk</t>
  </si>
  <si>
    <t>01.1.4.3.2</t>
  </si>
  <si>
    <t>Infant &amp; baby milk - READY TO DRINK (sold by volume</t>
  </si>
  <si>
    <t>01.1.4.3.3</t>
  </si>
  <si>
    <t>Infant &amp; baby milk - DRIED (sold by weight)</t>
  </si>
  <si>
    <t>01.1.4.3.4</t>
  </si>
  <si>
    <t>Instant dried milk eg Marvel</t>
  </si>
  <si>
    <t>01.1.4.3.5</t>
  </si>
  <si>
    <t>Dried milk products eg Complan, Build Up, powdered milkshake mixes</t>
  </si>
  <si>
    <t>01.1.4.4.1</t>
  </si>
  <si>
    <t>Yoghurt products - childrens</t>
  </si>
  <si>
    <t>01.1.4.4.2</t>
  </si>
  <si>
    <t>Yoghurt drinks</t>
  </si>
  <si>
    <t>01.1.4.4.3</t>
  </si>
  <si>
    <t>Yoghurt</t>
  </si>
  <si>
    <t>01.1.4.4.4</t>
  </si>
  <si>
    <t>Fromage Frais</t>
  </si>
  <si>
    <t>01.1.4.5.1</t>
  </si>
  <si>
    <t>01.1.4.5.2.1</t>
  </si>
  <si>
    <t>Irish Cheddar cheese</t>
  </si>
  <si>
    <t>01.1.4.5.2.2</t>
  </si>
  <si>
    <t>Non-Irish Cheddar cheese</t>
  </si>
  <si>
    <t>01.1.4.5.2.3</t>
  </si>
  <si>
    <t>Other Hard Cheeses - Edam or other foreign eg Gouda, Babybel</t>
  </si>
  <si>
    <t>01.1.4.5.3</t>
  </si>
  <si>
    <t>Cottage cheese incl flavoured</t>
  </si>
  <si>
    <t>01.1.4.5.4</t>
  </si>
  <si>
    <t>Soft natural cheese eg Brie, Camembert, Philadelphia</t>
  </si>
  <si>
    <t>01.1.4.5.5</t>
  </si>
  <si>
    <t>01.1.4.6.1</t>
  </si>
  <si>
    <t>Fresh cream</t>
  </si>
  <si>
    <t>01.1.4.6.2</t>
  </si>
  <si>
    <t>Probiotic drinks</t>
  </si>
  <si>
    <t>01.1.4.7</t>
  </si>
  <si>
    <t>Eggs</t>
  </si>
  <si>
    <t>01.1.4.8.1</t>
  </si>
  <si>
    <t>Non-dairy milk substitutes</t>
  </si>
  <si>
    <t>01.1.5.1.1</t>
  </si>
  <si>
    <t>Butter</t>
  </si>
  <si>
    <t>01.1.5.1.2</t>
  </si>
  <si>
    <t>Spreadable Butter</t>
  </si>
  <si>
    <t>01.1.5.1.3</t>
  </si>
  <si>
    <t>Other Butter Products</t>
  </si>
  <si>
    <t>01.1.5.2.1</t>
  </si>
  <si>
    <t>Margarine</t>
  </si>
  <si>
    <t>01.1.5.2.2</t>
  </si>
  <si>
    <t>Low fat spread</t>
  </si>
  <si>
    <t>01.1.5.2.3.1</t>
  </si>
  <si>
    <t>Peanut butter</t>
  </si>
  <si>
    <t>01.1.5.2.3.2</t>
  </si>
  <si>
    <t>Other vegetable butters</t>
  </si>
  <si>
    <t>01.1.5.3</t>
  </si>
  <si>
    <t>Olive Oil</t>
  </si>
  <si>
    <t>01.1.5.4</t>
  </si>
  <si>
    <t>Other Edible Oils</t>
  </si>
  <si>
    <t>01.1.5.5.1</t>
  </si>
  <si>
    <t>Lard, cooking fat eg Cookeen, Spry, Trex</t>
  </si>
  <si>
    <t>01.1.5.5.2</t>
  </si>
  <si>
    <t>Suet &amp; dripping</t>
  </si>
  <si>
    <t>01.1.6.1.1.1</t>
  </si>
  <si>
    <t>Oranges</t>
  </si>
  <si>
    <t>01.1.6.1.1.2</t>
  </si>
  <si>
    <t>Satsumas, Mandarins, Clementines</t>
  </si>
  <si>
    <t>01.1.6.1.1.3</t>
  </si>
  <si>
    <t>Lemons</t>
  </si>
  <si>
    <t>01.1.6.1.1.4</t>
  </si>
  <si>
    <t>Other Citrus fruits</t>
  </si>
  <si>
    <t>01.1.6.1.10</t>
  </si>
  <si>
    <t>Other fresh fruit eg pineapple, pomegranate, figs, rhubarb, 'fruit' - type not spec</t>
  </si>
  <si>
    <t>Fresh Bananas</t>
  </si>
  <si>
    <t>Fresh Apples</t>
  </si>
  <si>
    <t>Fresh Pears</t>
  </si>
  <si>
    <t>Fresh Stone fruit eg apricot, plum, peach, cherry, avocado, nectarine, olives</t>
  </si>
  <si>
    <t>Grapes</t>
  </si>
  <si>
    <t>Other soft fruit (e.g. strawberries)</t>
  </si>
  <si>
    <t>Fresh Melon</t>
  </si>
  <si>
    <t>Kiwi</t>
  </si>
  <si>
    <t>01.1.6.2</t>
  </si>
  <si>
    <t>Frozen fruit</t>
  </si>
  <si>
    <t>01.1.6.3.1</t>
  </si>
  <si>
    <t>Dried fruit eg sultanas, raisins, currants, dates, apricots</t>
  </si>
  <si>
    <t>01.1.6.3.2</t>
  </si>
  <si>
    <t>Nuts, edible seeds &amp; nut products eg peanuts, coconut, sunflower seeds,</t>
  </si>
  <si>
    <t>01.1.6.4.1</t>
  </si>
  <si>
    <t>Tinned peaches, pears &amp; pineapples only</t>
  </si>
  <si>
    <t>01.1.6.4.2</t>
  </si>
  <si>
    <t>Other tinned or bottled fruit eg apricots, cherries, mandarin oranges, olives</t>
  </si>
  <si>
    <t>01.1.7.1.1.1</t>
  </si>
  <si>
    <t>Lettuce incl watercress (NOT prepared salads)</t>
  </si>
  <si>
    <t>01.1.7.1.1.2</t>
  </si>
  <si>
    <t>Other fresh green vegetables eg spinach, turnip tops, sprouting broccoli</t>
  </si>
  <si>
    <t>01.1.7.1.1.3</t>
  </si>
  <si>
    <t>Stem vegetables eg celery, artichokes, asparagus, bean sprouts</t>
  </si>
  <si>
    <t>01.1.7.1.2.1</t>
  </si>
  <si>
    <t>Cabbages, fresh</t>
  </si>
  <si>
    <t>01.1.7.1.2.2</t>
  </si>
  <si>
    <t>Brussel sprouts, fresh</t>
  </si>
  <si>
    <t>01.1.7.1.2.3</t>
  </si>
  <si>
    <t>Broccoli</t>
  </si>
  <si>
    <t>01.1.7.1.2.4</t>
  </si>
  <si>
    <t>Cauliflower</t>
  </si>
  <si>
    <t>01.1.7.1.3.1</t>
  </si>
  <si>
    <t>Cucumbers</t>
  </si>
  <si>
    <t>01.1.7.1.3.2</t>
  </si>
  <si>
    <t>Peppers</t>
  </si>
  <si>
    <t>01.1.7.1.3.3</t>
  </si>
  <si>
    <t>Marrow, courgettes, aubergine, pumpkin, plantain etc</t>
  </si>
  <si>
    <t>01.1.7.1.3.4</t>
  </si>
  <si>
    <t>Peas, fresh incl mangetout, sugar snap peas</t>
  </si>
  <si>
    <t>01.1.7.1.3.5</t>
  </si>
  <si>
    <t>Beans, fresh incl runner, broad, french</t>
  </si>
  <si>
    <t>01.1.7.1.3.6</t>
  </si>
  <si>
    <t>Tomatoes, fresh</t>
  </si>
  <si>
    <t>01.1.7.1.4.1</t>
  </si>
  <si>
    <t>Carrots, fresh</t>
  </si>
  <si>
    <t>01.1.7.1.4.2</t>
  </si>
  <si>
    <t>Turnips &amp; swede, fresh</t>
  </si>
  <si>
    <t>01.1.7.1.4.3</t>
  </si>
  <si>
    <t>Onions - fresh</t>
  </si>
  <si>
    <t>01.1.7.1.4.4</t>
  </si>
  <si>
    <t>Garlic - fresh</t>
  </si>
  <si>
    <t>01.1.7.1.4.5</t>
  </si>
  <si>
    <t>Leeks, shallots etc, fresh</t>
  </si>
  <si>
    <t>01.1.7.1.4.6</t>
  </si>
  <si>
    <t>Other root veg, fresh eg beetroot, parsnips, jerusalem artichokes, parsnips, yams, radishes</t>
  </si>
  <si>
    <t>01.1.7.1.4.7</t>
  </si>
  <si>
    <t>Mushrooms - fresh</t>
  </si>
  <si>
    <t>01.1.7.1.4.8</t>
  </si>
  <si>
    <t>Stir-fry pack, pack of mixed veg, stewpack, fresh veg - type not specified</t>
  </si>
  <si>
    <t>01.1.7.2.1</t>
  </si>
  <si>
    <t>Peas, frozen</t>
  </si>
  <si>
    <t>01.1.7.2.2</t>
  </si>
  <si>
    <t>Beans, frozen</t>
  </si>
  <si>
    <t>01.1.7.2.3</t>
  </si>
  <si>
    <t>Mixed vegetables - frozen</t>
  </si>
  <si>
    <t>01.1.7.2.4</t>
  </si>
  <si>
    <t>All other frozen veg eg sweetcorn, courgettes, carrots</t>
  </si>
  <si>
    <t>01.1.7.3.1.1</t>
  </si>
  <si>
    <t>Air-dried vegetables eg Surprise peas, Swel onions &amp; mixed veg, sun dried tomatoes</t>
  </si>
  <si>
    <t>01.1.7.3.1.2</t>
  </si>
  <si>
    <t>Dried pulses eg peas, chick peas, beans, lentils</t>
  </si>
  <si>
    <t>01.1.7.3.2.1</t>
  </si>
  <si>
    <t>Tomatoes, tinned or bottled</t>
  </si>
  <si>
    <t>01.1.7.3.2.2</t>
  </si>
  <si>
    <t>Peas, tinned</t>
  </si>
  <si>
    <t>01.1.7.3.2.3</t>
  </si>
  <si>
    <t>Tinned Baked beans</t>
  </si>
  <si>
    <t>01.1.7.3.2.4</t>
  </si>
  <si>
    <t>Other canned beans &amp; pulses eg butter beans, broad beans, kidney beans</t>
  </si>
  <si>
    <t>01.1.7.3.2.5</t>
  </si>
  <si>
    <t>Other canned or bottled veg eg carrots, runner beans, sweetcorn, mushrooms</t>
  </si>
  <si>
    <t>Prepared packaged vegetables</t>
  </si>
  <si>
    <t>Prepared green salads</t>
  </si>
  <si>
    <t>Coleslaw &amp; other mixed salads</t>
  </si>
  <si>
    <t>Vegetarian meals/products</t>
  </si>
  <si>
    <t>01.1.7.4.1</t>
  </si>
  <si>
    <t>Potatoes - not new or baking</t>
  </si>
  <si>
    <t>01.1.7.4.2</t>
  </si>
  <si>
    <t>New Potatoes - bought any time of year</t>
  </si>
  <si>
    <t>01.1.7.4.3</t>
  </si>
  <si>
    <t>Baking Potatoes</t>
  </si>
  <si>
    <t>01.1.7.4.4</t>
  </si>
  <si>
    <t>Instant potato eg Smash, Yeoman</t>
  </si>
  <si>
    <t>01.1.7.4.5</t>
  </si>
  <si>
    <t>Chips - frozen/not frozen eg oven chips</t>
  </si>
  <si>
    <t>01.1.7.4.6</t>
  </si>
  <si>
    <t>Other potato products - frozen</t>
  </si>
  <si>
    <t>01.1.7.4.7</t>
  </si>
  <si>
    <t>Other potato products - not frozen</t>
  </si>
  <si>
    <t>01.1.7.5.1</t>
  </si>
  <si>
    <t>Potato crisps</t>
  </si>
  <si>
    <t>01.1.7.5.2</t>
  </si>
  <si>
    <t>Premium quality snacks (potato based)</t>
  </si>
  <si>
    <t>01.1.7.6</t>
  </si>
  <si>
    <t>Other tubers and products of tuber vegetables</t>
  </si>
  <si>
    <t>01.1.8.1.1</t>
  </si>
  <si>
    <t>Sugar - white granulated</t>
  </si>
  <si>
    <t>01.1.8.1.2</t>
  </si>
  <si>
    <t>Sugar - other types</t>
  </si>
  <si>
    <t>01.1.8.2.1</t>
  </si>
  <si>
    <t>Jams</t>
  </si>
  <si>
    <t>01.1.8.2.2</t>
  </si>
  <si>
    <t>Marmalades</t>
  </si>
  <si>
    <t>01.1.8.2.3</t>
  </si>
  <si>
    <t>Honey</t>
  </si>
  <si>
    <t>01.1.8.2.4</t>
  </si>
  <si>
    <t>Fruit curds</t>
  </si>
  <si>
    <t>01.1.8.2.5</t>
  </si>
  <si>
    <t>Jelly squares or crystals</t>
  </si>
  <si>
    <t>01.1.8.2.6</t>
  </si>
  <si>
    <t>Syrup, treacle</t>
  </si>
  <si>
    <t>01.1.8.3.1</t>
  </si>
  <si>
    <t>Chocolate bars</t>
  </si>
  <si>
    <t>01.1.8.3.2</t>
  </si>
  <si>
    <t>Box of chocolates</t>
  </si>
  <si>
    <t>01.1.8.3.3</t>
  </si>
  <si>
    <t>Multi-pack/fun size chocolate</t>
  </si>
  <si>
    <t>01.1.8.4.1</t>
  </si>
  <si>
    <t>Packet of sweets</t>
  </si>
  <si>
    <t>01.1.8.4.2</t>
  </si>
  <si>
    <t>Chewing gum</t>
  </si>
  <si>
    <t>01.1.8.4.3</t>
  </si>
  <si>
    <t>Other confectionary products NEC</t>
  </si>
  <si>
    <t>01.1.8.5.1</t>
  </si>
  <si>
    <t>Ice cream</t>
  </si>
  <si>
    <t>01.1.8.5.2</t>
  </si>
  <si>
    <t>Ice cream products</t>
  </si>
  <si>
    <t>01.1.8.5.3</t>
  </si>
  <si>
    <t>Other frozen dairy foods &amp; ices eg ice lollies, ice cubes, sorbet, frozen mousse, frozen yoghurt ) ,</t>
  </si>
  <si>
    <t>01.1.8.5.4</t>
  </si>
  <si>
    <t>Artificial sweeteners eg Sweetex, Canderel, Hermesetas</t>
  </si>
  <si>
    <t>01.1.8.6.1</t>
  </si>
  <si>
    <t>Other spreads &amp; dressings eg choc spread, choc sauce, instant icing, hundreds &amp; thousands</t>
  </si>
  <si>
    <t>01.1.9.1.1</t>
  </si>
  <si>
    <t>Pasta meal sauces</t>
  </si>
  <si>
    <t>01.1.9.1.2</t>
  </si>
  <si>
    <t>Ready mix sauces, eg Parsley sauce, White sauce</t>
  </si>
  <si>
    <t>01.1.9.1.3</t>
  </si>
  <si>
    <t>Oriental stir fry sauces &amp; mixtures</t>
  </si>
  <si>
    <t>01.1.9.1.4</t>
  </si>
  <si>
    <t>Ketchup</t>
  </si>
  <si>
    <t>01.1.9.1.5</t>
  </si>
  <si>
    <t>Relishes &amp; other sauces</t>
  </si>
  <si>
    <t>01.1.9.1.6.1</t>
  </si>
  <si>
    <t>Mayonnaise</t>
  </si>
  <si>
    <t>01.1.9.1.6.2</t>
  </si>
  <si>
    <t>Other salad dressings, eg 1000 island, salad cream, dips</t>
  </si>
  <si>
    <t>01.1.9.1.7</t>
  </si>
  <si>
    <t>Vinegar</t>
  </si>
  <si>
    <t>01.1.9.1.8</t>
  </si>
  <si>
    <t>Mustard</t>
  </si>
  <si>
    <t>01.1.9.2.1</t>
  </si>
  <si>
    <t>Salt</t>
  </si>
  <si>
    <t>01.1.9.2.2</t>
  </si>
  <si>
    <t>Pepper</t>
  </si>
  <si>
    <t>01.1.9.2.3</t>
  </si>
  <si>
    <t>Spices &amp; dried herbs eg curry powder, dried garlic</t>
  </si>
  <si>
    <t>01.1.9.2.4</t>
  </si>
  <si>
    <t>Fresh herbs eg basil, rosemary</t>
  </si>
  <si>
    <t>01.1.9.3.1</t>
  </si>
  <si>
    <t>Baby Food-Jar/Pouch/Tin</t>
  </si>
  <si>
    <t>01.1.9.3.2</t>
  </si>
  <si>
    <t>Baby biscuits/rice cakes</t>
  </si>
  <si>
    <t>01.1.9.4.1</t>
  </si>
  <si>
    <t>Sandwiches</t>
  </si>
  <si>
    <t>01.1.9.4.2</t>
  </si>
  <si>
    <t>Fresh/chilled ready to eat meals- European (must be meat based)</t>
  </si>
  <si>
    <t>01.1.9.4.3</t>
  </si>
  <si>
    <t>Fresh/chilled ready to eat meals- Asian (must be meat based)</t>
  </si>
  <si>
    <t>01.1.9.4.4</t>
  </si>
  <si>
    <t>Frozen meals - Europen (must be meat based)</t>
  </si>
  <si>
    <t>01.1.9.4.5</t>
  </si>
  <si>
    <t>Frozen meal - Asian (must be meat based)</t>
  </si>
  <si>
    <t>01.1.9.4.6</t>
  </si>
  <si>
    <t>Convenience chilled foods (must be meat based)</t>
  </si>
  <si>
    <t>01.1.9.4.7</t>
  </si>
  <si>
    <t>Hot Deli Foods (meat-based)</t>
  </si>
  <si>
    <t>01.1.9.4.8</t>
  </si>
  <si>
    <t>Other world cuisine</t>
  </si>
  <si>
    <t>01.1.9.4.9</t>
  </si>
  <si>
    <t>Ready made desserts</t>
  </si>
  <si>
    <t>01.1.9.5.1</t>
  </si>
  <si>
    <t>Invalid, slimming &amp; sports foods eg slimming bars, slimming drinks (powdered or ready-to-drink Bengers, Power Malt</t>
  </si>
  <si>
    <t>01.1.9.5.2</t>
  </si>
  <si>
    <t>Soya &amp; novel protein foods eg soya mince, Tofu, Quorn</t>
  </si>
  <si>
    <t>01.1.9.5.3</t>
  </si>
  <si>
    <t>Canned &amp; carton soups</t>
  </si>
  <si>
    <t>01.1.9.5.4</t>
  </si>
  <si>
    <t>Dehydrated &amp; powdered soup incl cup-a-soup</t>
  </si>
  <si>
    <t>01.1.9.5.5</t>
  </si>
  <si>
    <t>Bisto, gravy granules &amp; stock cubes</t>
  </si>
  <si>
    <t>01.1.9.5.6</t>
  </si>
  <si>
    <t>Baking powder, yeast, flavourings, colourings</t>
  </si>
  <si>
    <t>01.1.9.5.7</t>
  </si>
  <si>
    <t>Gluten free food</t>
  </si>
  <si>
    <t>01.1.9.5.8</t>
  </si>
  <si>
    <t>Wine &amp; beer making kits</t>
  </si>
  <si>
    <t>01.1.9.5.9</t>
  </si>
  <si>
    <t>Payment for food, items not specified</t>
  </si>
  <si>
    <t>01.2.1.1.1</t>
  </si>
  <si>
    <t>COFFEE - INSTANT</t>
  </si>
  <si>
    <t>01.2.1.1.2</t>
  </si>
  <si>
    <t>COFFEE - FILTER</t>
  </si>
  <si>
    <t>01.2.1.1.3</t>
  </si>
  <si>
    <t>COFFEE ESSENCES</t>
  </si>
  <si>
    <t>01.2.1.2.1</t>
  </si>
  <si>
    <t>SPECIALISED TEAS</t>
  </si>
  <si>
    <t>01.2.1.2.2</t>
  </si>
  <si>
    <t>TEA BAGS</t>
  </si>
  <si>
    <t>01.2.1.3.1</t>
  </si>
  <si>
    <t>COCOA/DRINKING CHOCOLATE</t>
  </si>
  <si>
    <t>01.2.1.3.2</t>
  </si>
  <si>
    <t>Malt drinks (eg Ovaltine) &amp; chocolate versions of malt drinks</t>
  </si>
  <si>
    <t>01.2.2.1.1</t>
  </si>
  <si>
    <t>Still water</t>
  </si>
  <si>
    <t>01.2.2.1.2</t>
  </si>
  <si>
    <t>Sparkling water</t>
  </si>
  <si>
    <t>01.2.2.1.3</t>
  </si>
  <si>
    <t>Flavoured water</t>
  </si>
  <si>
    <t>01.2.2.2.1</t>
  </si>
  <si>
    <t>Soft drinks - not conc, NOT low cal (incl fizzy &amp; still)</t>
  </si>
  <si>
    <t>01.2.2.2.2</t>
  </si>
  <si>
    <t>Soft drinks - not conc, LOW CAL (incl fizzy &amp; still)</t>
  </si>
  <si>
    <t>01.2.2.2.3</t>
  </si>
  <si>
    <t>Energy drinks</t>
  </si>
  <si>
    <t>01.2.2.3.1</t>
  </si>
  <si>
    <t>CONCENTRATED SQUASH</t>
  </si>
  <si>
    <t>01.2.2.3.2</t>
  </si>
  <si>
    <t>ORANGE JUICE</t>
  </si>
  <si>
    <t>01.2.2.3.3</t>
  </si>
  <si>
    <t>Other Fruit Juices</t>
  </si>
  <si>
    <t>01.2.2.3.4</t>
  </si>
  <si>
    <t>Children's fruit juices</t>
  </si>
  <si>
    <t>01.2.2.3.5</t>
  </si>
  <si>
    <t>Fruit smoothie</t>
  </si>
  <si>
    <t>01.2.2.3.6</t>
  </si>
  <si>
    <t>Vegetable juices eg tomato juice, carrot juice</t>
  </si>
  <si>
    <t>02.1.1.1.1</t>
  </si>
  <si>
    <t>Whiskey - take home</t>
  </si>
  <si>
    <t>02.1.1.1.2</t>
  </si>
  <si>
    <t>Brandy - take home</t>
  </si>
  <si>
    <t>02.1.1.1.3</t>
  </si>
  <si>
    <t>Vodka - take home</t>
  </si>
  <si>
    <t>02.1.1.1.4</t>
  </si>
  <si>
    <t>Other spirits - take home</t>
  </si>
  <si>
    <t>02.1.1.1.5</t>
  </si>
  <si>
    <t>Cream liqueur - take home</t>
  </si>
  <si>
    <t>02.1.1.1.6</t>
  </si>
  <si>
    <t>Other liquer - take home</t>
  </si>
  <si>
    <t>02.1.1.1.7</t>
  </si>
  <si>
    <t>Cocktails - take home</t>
  </si>
  <si>
    <t>02.1.1.1.8</t>
  </si>
  <si>
    <t>Spirits with mixer - take home</t>
  </si>
  <si>
    <t>02.1.1.2</t>
  </si>
  <si>
    <t>Alcoholic soft drinks - take home</t>
  </si>
  <si>
    <t>02.1.2.1.1</t>
  </si>
  <si>
    <t>Wine - take home</t>
  </si>
  <si>
    <t>02.1.2.1.2</t>
  </si>
  <si>
    <t>Sparkling wine - take home</t>
  </si>
  <si>
    <t>02.1.2.2.1</t>
  </si>
  <si>
    <t>Cider - take home</t>
  </si>
  <si>
    <t>02.1.2.2.2</t>
  </si>
  <si>
    <t>Perry - take home</t>
  </si>
  <si>
    <t>02.1.2.3.1</t>
  </si>
  <si>
    <t>Sherry - take home</t>
  </si>
  <si>
    <t>02.1.2.3.2</t>
  </si>
  <si>
    <t>Other fortified wine - take home</t>
  </si>
  <si>
    <t>02.1.3.1</t>
  </si>
  <si>
    <t>Lager Beer - take home</t>
  </si>
  <si>
    <t>02.1.3.2.1</t>
  </si>
  <si>
    <t>Stout - take home</t>
  </si>
  <si>
    <t>02.1.3.2.2</t>
  </si>
  <si>
    <t>Other ales, beers &amp; bitters - take home</t>
  </si>
  <si>
    <t>02.1.3.3</t>
  </si>
  <si>
    <t>Low alcohol or non-alcoholic beer take home</t>
  </si>
  <si>
    <t>02.1.3.4</t>
  </si>
  <si>
    <t>Beer-based drinks - take home</t>
  </si>
  <si>
    <t>02.2.1.1</t>
  </si>
  <si>
    <t>Cigarettes</t>
  </si>
  <si>
    <t>02.2.1.2</t>
  </si>
  <si>
    <t>Cigars</t>
  </si>
  <si>
    <t>02.2.1.3</t>
  </si>
  <si>
    <t>Tobacco - flake</t>
  </si>
  <si>
    <t>02.2.1.4</t>
  </si>
  <si>
    <t>Snuff</t>
  </si>
  <si>
    <t>02.2.1.5</t>
  </si>
  <si>
    <t>Cigarette papers</t>
  </si>
  <si>
    <t>03.1.1.1.1</t>
  </si>
  <si>
    <t>Clothing materials</t>
  </si>
  <si>
    <t>03.1.2.1.1.10</t>
  </si>
  <si>
    <t>Mens fleeces &amp; similar style jackets</t>
  </si>
  <si>
    <t>03.1.2.1.1.11</t>
  </si>
  <si>
    <t>Mens tracksuits/separates</t>
  </si>
  <si>
    <t>03.1.2.1.1.12</t>
  </si>
  <si>
    <t>Mens sweatshirts/rugby shirts</t>
  </si>
  <si>
    <t>03.1.2.1.1.13</t>
  </si>
  <si>
    <t>Mens replica sports jersey</t>
  </si>
  <si>
    <t>03.1.2.1.1.14</t>
  </si>
  <si>
    <t>Other mens outerwear</t>
  </si>
  <si>
    <t>Suit mens</t>
  </si>
  <si>
    <t>Mens sports jacket &amp; blazer</t>
  </si>
  <si>
    <t>Mens casual trousers</t>
  </si>
  <si>
    <t>Mens formal trousers</t>
  </si>
  <si>
    <t>Mens jumpers &amp; pullovers</t>
  </si>
  <si>
    <t>Mens tops &amp; t-shirts</t>
  </si>
  <si>
    <t>Mens formal shirts</t>
  </si>
  <si>
    <t>Mens casual shirts</t>
  </si>
  <si>
    <t>03.1.2.1.2.1</t>
  </si>
  <si>
    <t>Mens pyjamas</t>
  </si>
  <si>
    <t>03.1.2.1.2.2</t>
  </si>
  <si>
    <t>Mens underwear</t>
  </si>
  <si>
    <t>03.1.2.1.2.3</t>
  </si>
  <si>
    <t>Mens vests</t>
  </si>
  <si>
    <t>03.1.2.1.2.4</t>
  </si>
  <si>
    <t>Mens socks</t>
  </si>
  <si>
    <t>Ladies casual overjacket/rain coat</t>
  </si>
  <si>
    <t>03.1.2.2.1.10</t>
  </si>
  <si>
    <t>Ladies knitwear</t>
  </si>
  <si>
    <t>03.1.2.2.1.11</t>
  </si>
  <si>
    <t>Ladies tops</t>
  </si>
  <si>
    <t>03.1.2.2.1.12</t>
  </si>
  <si>
    <t>Ladies sports/leisurewear</t>
  </si>
  <si>
    <t>03.1.2.2.1.13</t>
  </si>
  <si>
    <t>Ladies swimwear</t>
  </si>
  <si>
    <t>03.1.2.2.1.14</t>
  </si>
  <si>
    <t>Ladies other outerwear</t>
  </si>
  <si>
    <t>Ladies overcoat</t>
  </si>
  <si>
    <t>Ladies 2-piece suit</t>
  </si>
  <si>
    <t>Ladies blazer &amp; jacket</t>
  </si>
  <si>
    <t>Ladies dress - formal or informal</t>
  </si>
  <si>
    <t>Ladies jeans &amp; casual trousers</t>
  </si>
  <si>
    <t>Ladies formal trousers</t>
  </si>
  <si>
    <t>Ladies skirt</t>
  </si>
  <si>
    <t>Ladies blouse</t>
  </si>
  <si>
    <t>03.1.2.2.2.1</t>
  </si>
  <si>
    <t>Ladies knickers &amp; panties</t>
  </si>
  <si>
    <t>03.1.2.2.2.2</t>
  </si>
  <si>
    <t>Ladies body shapers</t>
  </si>
  <si>
    <t>03.1.2.2.2.3</t>
  </si>
  <si>
    <t>Ladies bras</t>
  </si>
  <si>
    <t>03.1.2.2.2.4</t>
  </si>
  <si>
    <t>Ladies nightdresses &amp; pyjamas</t>
  </si>
  <si>
    <t>03.1.2.2.2.5</t>
  </si>
  <si>
    <t>Ladies tights &amp; stockings</t>
  </si>
  <si>
    <t>03.1.2.2.2.6</t>
  </si>
  <si>
    <t>Ladies socks, vests &amp; slips</t>
  </si>
  <si>
    <t>03.1.2.3.1.1</t>
  </si>
  <si>
    <t>Boys casual jacket</t>
  </si>
  <si>
    <t>03.1.2.3.1.2</t>
  </si>
  <si>
    <t>Boys tracksuits/separates</t>
  </si>
  <si>
    <t>03.1.2.3.1.3</t>
  </si>
  <si>
    <t>Boys casual trousers</t>
  </si>
  <si>
    <t>03.1.2.3.1.4</t>
  </si>
  <si>
    <t>Boys jumpers/sweatshirts/hoodies</t>
  </si>
  <si>
    <t>03.1.2.3.1.5</t>
  </si>
  <si>
    <t>Boys shirts - non-school</t>
  </si>
  <si>
    <t>03.1.2.3.1.6</t>
  </si>
  <si>
    <t>Boys tops &amp; t-shirts</t>
  </si>
  <si>
    <t>03.1.2.3.1.7</t>
  </si>
  <si>
    <t>Boys school uniforms</t>
  </si>
  <si>
    <t>03.1.2.3.1.8</t>
  </si>
  <si>
    <t>Other boys wear</t>
  </si>
  <si>
    <t>03.1.2.3.2.1</t>
  </si>
  <si>
    <t>Girls casual jacket</t>
  </si>
  <si>
    <t>03.1.2.3.2.2</t>
  </si>
  <si>
    <t>Girls tracksuits/separates</t>
  </si>
  <si>
    <t>03.1.2.3.2.3</t>
  </si>
  <si>
    <t>Girls casual trousers</t>
  </si>
  <si>
    <t>03.1.2.3.2.4</t>
  </si>
  <si>
    <t>Girls jumpers/sweatshirts/hoodies</t>
  </si>
  <si>
    <t>03.1.2.3.2.5</t>
  </si>
  <si>
    <t>Girls tops &amp; t-shirts</t>
  </si>
  <si>
    <t>03.1.2.3.2.6</t>
  </si>
  <si>
    <t>Girls skirts</t>
  </si>
  <si>
    <t>03.1.2.3.2.7</t>
  </si>
  <si>
    <t>Girls school uniforms</t>
  </si>
  <si>
    <t>03.1.2.3.2.8</t>
  </si>
  <si>
    <t>Girls dresses</t>
  </si>
  <si>
    <t>03.1.2.3.2.9</t>
  </si>
  <si>
    <t>Girls other outerwear</t>
  </si>
  <si>
    <t>03.1.2.3.3.1</t>
  </si>
  <si>
    <t>Babies sleep suits/babygros (under 2 years)</t>
  </si>
  <si>
    <t>03.1.2.3.3.2</t>
  </si>
  <si>
    <t>03.1.2.3.3.3</t>
  </si>
  <si>
    <t>Toddlers outfit (1-4 years)</t>
  </si>
  <si>
    <t>03.1.2.3.4.1</t>
  </si>
  <si>
    <t>Boys underwear (under 15 years)</t>
  </si>
  <si>
    <t>03.1.2.3.4.2</t>
  </si>
  <si>
    <t>Boys nightwear</t>
  </si>
  <si>
    <t>03.1.2.3.4.3</t>
  </si>
  <si>
    <t>Boys socks</t>
  </si>
  <si>
    <t>03.1.2.3.4.4</t>
  </si>
  <si>
    <t>Boys vests</t>
  </si>
  <si>
    <t>03.1.2.3.5.1</t>
  </si>
  <si>
    <t>Girls underwear (under 15 years)</t>
  </si>
  <si>
    <t>03.1.2.3.5.2</t>
  </si>
  <si>
    <t>Girls nightwear</t>
  </si>
  <si>
    <t>03.1.2.3.5.3</t>
  </si>
  <si>
    <t>Girls socks</t>
  </si>
  <si>
    <t>03.1.2.3.5.4</t>
  </si>
  <si>
    <t>Girls vest</t>
  </si>
  <si>
    <t>03.1.2.3.5.5</t>
  </si>
  <si>
    <t>Girls Other underwear</t>
  </si>
  <si>
    <t>03.1.3.1.1.1</t>
  </si>
  <si>
    <t>Neck tie</t>
  </si>
  <si>
    <t>03.1.3.1.1.2</t>
  </si>
  <si>
    <t>Mens other clothing accessories</t>
  </si>
  <si>
    <t>03.1.3.1.2</t>
  </si>
  <si>
    <t>Ladies clothing accessories</t>
  </si>
  <si>
    <t>03.1.3.1.3</t>
  </si>
  <si>
    <t>Childrens clothing accessories</t>
  </si>
  <si>
    <t>03.1.3.1.4</t>
  </si>
  <si>
    <t>Haberdashery</t>
  </si>
  <si>
    <t>03.1.3.1.5.1</t>
  </si>
  <si>
    <t>Cycling helmet</t>
  </si>
  <si>
    <t>03.1.3.1.5.2</t>
  </si>
  <si>
    <t>Other helmets</t>
  </si>
  <si>
    <t>03.1.4.1.1</t>
  </si>
  <si>
    <t>Dry cleaning</t>
  </si>
  <si>
    <t>03.1.4.1.2</t>
  </si>
  <si>
    <t>Laundry</t>
  </si>
  <si>
    <t>03.1.4.1.3</t>
  </si>
  <si>
    <t>Dyeing (not linen)</t>
  </si>
  <si>
    <t>03.1.4.1.4</t>
  </si>
  <si>
    <t>Clothes alterations</t>
  </si>
  <si>
    <t>03.1.4.2.1</t>
  </si>
  <si>
    <t>Clothing hire</t>
  </si>
  <si>
    <t>03.1.4.2.2</t>
  </si>
  <si>
    <t>Clothing repair</t>
  </si>
  <si>
    <t>03.2.1.1.1</t>
  </si>
  <si>
    <t>Shoes mens</t>
  </si>
  <si>
    <t>03.2.1.1.2</t>
  </si>
  <si>
    <t>Trainers &amp; runners mens</t>
  </si>
  <si>
    <t>03.2.1.1.3</t>
  </si>
  <si>
    <t>Boots mens</t>
  </si>
  <si>
    <t>03.2.1.1.4</t>
  </si>
  <si>
    <t>Other mens footwear</t>
  </si>
  <si>
    <t>03.2.1.2.1</t>
  </si>
  <si>
    <t>LADIES LOW HEEL SHOES</t>
  </si>
  <si>
    <t>03.2.1.2.2</t>
  </si>
  <si>
    <t>LADIES FASHION SHOES</t>
  </si>
  <si>
    <t>03.2.1.2.3</t>
  </si>
  <si>
    <t>LADIES BOOTS</t>
  </si>
  <si>
    <t>03.2.1.2.4</t>
  </si>
  <si>
    <t>LADIES SANDALS</t>
  </si>
  <si>
    <t>03.2.1.2.5</t>
  </si>
  <si>
    <t>LADIES TRAINERS AND RUNNERS</t>
  </si>
  <si>
    <t>03.2.1.2.6</t>
  </si>
  <si>
    <t>OTHER FOOTWEAR FOR WOMEN</t>
  </si>
  <si>
    <t>03.2.1.3.1</t>
  </si>
  <si>
    <t>Boys shoes</t>
  </si>
  <si>
    <t>03.2.1.3.2</t>
  </si>
  <si>
    <t>Girls shoes</t>
  </si>
  <si>
    <t>03.2.1.3.3</t>
  </si>
  <si>
    <t>CHILDREN'S TRAINERS AND RUNNERS</t>
  </si>
  <si>
    <t>03.2.1.3.4</t>
  </si>
  <si>
    <t>Other children's footwear</t>
  </si>
  <si>
    <t>03.2.2.0.1</t>
  </si>
  <si>
    <t>MENS SHOE REPAIRS</t>
  </si>
  <si>
    <t>03.2.2.0.2</t>
  </si>
  <si>
    <t>LADIES SHOE REPAIRS</t>
  </si>
  <si>
    <t>03.2.2.0.3</t>
  </si>
  <si>
    <t>FOOTWEAR HIRE</t>
  </si>
  <si>
    <t>04.1.1.1.1.1</t>
  </si>
  <si>
    <t>Private rents</t>
  </si>
  <si>
    <t>04.1.1.1.1.2</t>
  </si>
  <si>
    <t>Local authority rents</t>
  </si>
  <si>
    <t>04.1.1.1.2</t>
  </si>
  <si>
    <t>Ground rent</t>
  </si>
  <si>
    <t>04.1.2.1.1</t>
  </si>
  <si>
    <t>Second dwelling rent</t>
  </si>
  <si>
    <t>04.1.2.2</t>
  </si>
  <si>
    <t>Garage rentals and other rentals paid by tenants</t>
  </si>
  <si>
    <t>04.2.1</t>
  </si>
  <si>
    <t>Imputed rentals of owner-occupiers (mortgage interest)</t>
  </si>
  <si>
    <t>Paint</t>
  </si>
  <si>
    <t>04.3.1.1.10</t>
  </si>
  <si>
    <t>Taps/mixer taps</t>
  </si>
  <si>
    <t>Wallpaper</t>
  </si>
  <si>
    <t>Timber</t>
  </si>
  <si>
    <t>Plaster</t>
  </si>
  <si>
    <t>Paint brush</t>
  </si>
  <si>
    <t>Paint roller</t>
  </si>
  <si>
    <t>White spirit</t>
  </si>
  <si>
    <t>Varnish</t>
  </si>
  <si>
    <t>DIY household maintenance products</t>
  </si>
  <si>
    <t>04.3.2.1</t>
  </si>
  <si>
    <t>Services of plumbers</t>
  </si>
  <si>
    <t>04.3.2.2</t>
  </si>
  <si>
    <t>Services of electricians</t>
  </si>
  <si>
    <t>04.3.2.3</t>
  </si>
  <si>
    <t>Maintenance services for heating systems</t>
  </si>
  <si>
    <t>04.3.2.4.1</t>
  </si>
  <si>
    <t>Painting (contractor)</t>
  </si>
  <si>
    <t>04.3.2.4.2</t>
  </si>
  <si>
    <t>Decorating (contractor)</t>
  </si>
  <si>
    <t>04.3.2.5</t>
  </si>
  <si>
    <t>Services of carpenters</t>
  </si>
  <si>
    <t>04.3.2.6.1</t>
  </si>
  <si>
    <t>Plastering</t>
  </si>
  <si>
    <t>04.3.2.6.2</t>
  </si>
  <si>
    <t>Tiler</t>
  </si>
  <si>
    <t>04.3.2.6.3</t>
  </si>
  <si>
    <t>Locksmith service</t>
  </si>
  <si>
    <t>04.3.2.6.4</t>
  </si>
  <si>
    <t>Services for maintenance of burglar alarms</t>
  </si>
  <si>
    <t>04.3.2.6.5</t>
  </si>
  <si>
    <t>Other</t>
  </si>
  <si>
    <t>04.4.1.1.1</t>
  </si>
  <si>
    <t>Water supply (primary dwelling)</t>
  </si>
  <si>
    <t>04.4.1.1.2</t>
  </si>
  <si>
    <t>Water supply (secondary dwelling)</t>
  </si>
  <si>
    <t>04.4.2.1.1</t>
  </si>
  <si>
    <t>Skip hire</t>
  </si>
  <si>
    <t>04.4.2.1.2</t>
  </si>
  <si>
    <t>Refuse collection eg. Bin tags</t>
  </si>
  <si>
    <t>04.4.2.1.3</t>
  </si>
  <si>
    <t>Civic amenity centre</t>
  </si>
  <si>
    <t>04.4.3.1.1</t>
  </si>
  <si>
    <t>04.4.4.1.1</t>
  </si>
  <si>
    <t>Maintenance charges in apartment blocks</t>
  </si>
  <si>
    <t>04.4.4.1.2</t>
  </si>
  <si>
    <t>Chimney sweep</t>
  </si>
  <si>
    <t>04.4.4.1.3</t>
  </si>
  <si>
    <t>Security services</t>
  </si>
  <si>
    <t>04.4.4.1.4</t>
  </si>
  <si>
    <t>Building energey rating (BER) assessment fees</t>
  </si>
  <si>
    <t>04.5.1</t>
  </si>
  <si>
    <t>Electricity</t>
  </si>
  <si>
    <t>04.5.2.1.1</t>
  </si>
  <si>
    <t>Natural Gas and Town Gas</t>
  </si>
  <si>
    <t>04.5.2.1.2</t>
  </si>
  <si>
    <t>Bottled gas - Liquefied hydrocarbons (butane, propane, etc.)</t>
  </si>
  <si>
    <t>04.5.3.1.1.1</t>
  </si>
  <si>
    <t>Central Heating Oil (not kerosene)</t>
  </si>
  <si>
    <t>04.5.3.1.1.2</t>
  </si>
  <si>
    <t>Kerosene</t>
  </si>
  <si>
    <t>04.5.3.1.2</t>
  </si>
  <si>
    <t>Paraffin</t>
  </si>
  <si>
    <t>04.5.4.1.1</t>
  </si>
  <si>
    <t>Coal</t>
  </si>
  <si>
    <t>04.5.4.1.2</t>
  </si>
  <si>
    <t>Anthracite</t>
  </si>
  <si>
    <t>04.5.4.1.3.1</t>
  </si>
  <si>
    <t>Wood (fuel)</t>
  </si>
  <si>
    <t>04.5.4.1.3.2</t>
  </si>
  <si>
    <t>Wood Pellets</t>
  </si>
  <si>
    <t>04.5.4.1.3.3</t>
  </si>
  <si>
    <t>Wood Briquettes</t>
  </si>
  <si>
    <t>04.5.4.1.3.4</t>
  </si>
  <si>
    <t>Wood Chippings</t>
  </si>
  <si>
    <t>04.5.4.1.4</t>
  </si>
  <si>
    <t>Firelighters</t>
  </si>
  <si>
    <t>04.5.4.1.5</t>
  </si>
  <si>
    <t>Fire handy packs</t>
  </si>
  <si>
    <t>04.5.4.1.6</t>
  </si>
  <si>
    <t>Turf</t>
  </si>
  <si>
    <t>04.5.4.1.7</t>
  </si>
  <si>
    <t>Peat briquettes</t>
  </si>
  <si>
    <t>04.5.5</t>
  </si>
  <si>
    <t>Heat energy</t>
  </si>
  <si>
    <t>Lounge suite</t>
  </si>
  <si>
    <t>05.1.1.1.10</t>
  </si>
  <si>
    <t>Bathroom furniture</t>
  </si>
  <si>
    <t>05.1.1.1.11</t>
  </si>
  <si>
    <t>Other household furniture</t>
  </si>
  <si>
    <t>Armchair</t>
  </si>
  <si>
    <t>Other living room furniture</t>
  </si>
  <si>
    <t>Bed</t>
  </si>
  <si>
    <t>Mattress</t>
  </si>
  <si>
    <t>Other bedroom furniture</t>
  </si>
  <si>
    <t>Dining table</t>
  </si>
  <si>
    <t>Dining chair</t>
  </si>
  <si>
    <t>Kitchen units</t>
  </si>
  <si>
    <t>05.1.1.2</t>
  </si>
  <si>
    <t>Garden furniture</t>
  </si>
  <si>
    <t>05.1.1.3.1</t>
  </si>
  <si>
    <t>Lamps</t>
  </si>
  <si>
    <t>05.1.1.3.2</t>
  </si>
  <si>
    <t>Other lighting equipment</t>
  </si>
  <si>
    <t>05.1.1.9.1</t>
  </si>
  <si>
    <t>Children's furniture</t>
  </si>
  <si>
    <t>05.1.1.9.2</t>
  </si>
  <si>
    <t>Computer/Office Furniture</t>
  </si>
  <si>
    <t>05.1.1.9.3</t>
  </si>
  <si>
    <t>Decorative home accessory</t>
  </si>
  <si>
    <t>05.1.2.1.1</t>
  </si>
  <si>
    <t>Carpet</t>
  </si>
  <si>
    <t>05.1.2.1.2</t>
  </si>
  <si>
    <t>Rugs</t>
  </si>
  <si>
    <t>05.1.2.2.1</t>
  </si>
  <si>
    <t>Vinyl floor covering</t>
  </si>
  <si>
    <t>05.1.2.2.2</t>
  </si>
  <si>
    <t>Wooden flooring</t>
  </si>
  <si>
    <t>05.1.2.3</t>
  </si>
  <si>
    <t>Services of laying of fitted carpets and floor coverings</t>
  </si>
  <si>
    <t>05.1.3.1.1</t>
  </si>
  <si>
    <t>Repair of furniture, furnishings and floor coverings</t>
  </si>
  <si>
    <t>05.2.0.1.1</t>
  </si>
  <si>
    <t>Curtains readymade</t>
  </si>
  <si>
    <t>05.2.0.1.2</t>
  </si>
  <si>
    <t>Furnishing fabrics and curtain material</t>
  </si>
  <si>
    <t>05.2.0.2.1</t>
  </si>
  <si>
    <t>Continental quilt/duvet</t>
  </si>
  <si>
    <t>05.2.0.2.2</t>
  </si>
  <si>
    <t>Continental quilt/duvet cover</t>
  </si>
  <si>
    <t>05.2.0.2.3</t>
  </si>
  <si>
    <t>Pillow</t>
  </si>
  <si>
    <t>05.2.0.2.4</t>
  </si>
  <si>
    <t>Pillow case</t>
  </si>
  <si>
    <t>05.2.0.2.5</t>
  </si>
  <si>
    <t>Bed sheets</t>
  </si>
  <si>
    <t>05.2.0.2.6</t>
  </si>
  <si>
    <t>Throws and other spreads</t>
  </si>
  <si>
    <t>05.2.0.2.7</t>
  </si>
  <si>
    <t>Other Bed linen</t>
  </si>
  <si>
    <t>05.2.0.3.1</t>
  </si>
  <si>
    <t>Tea towel</t>
  </si>
  <si>
    <t>05.2.0.3.2</t>
  </si>
  <si>
    <t>Other table linen</t>
  </si>
  <si>
    <t>05.2.0.3.3</t>
  </si>
  <si>
    <t>Bath towel</t>
  </si>
  <si>
    <t>05.2.0.3.4</t>
  </si>
  <si>
    <t>Other bathroom linen</t>
  </si>
  <si>
    <t>05.2.0.4</t>
  </si>
  <si>
    <t>Repair of household textiles</t>
  </si>
  <si>
    <t>05.2.0.9</t>
  </si>
  <si>
    <t>Other household textiles</t>
  </si>
  <si>
    <t>05.3.1.1.1</t>
  </si>
  <si>
    <t>Fridge freezer</t>
  </si>
  <si>
    <t>05.3.1.1.2</t>
  </si>
  <si>
    <t>Deep freeze</t>
  </si>
  <si>
    <t>05.3.1.1.3</t>
  </si>
  <si>
    <t>Refrigerator</t>
  </si>
  <si>
    <t>05.3.1.2.1</t>
  </si>
  <si>
    <t>Dishwasher</t>
  </si>
  <si>
    <t>05.3.1.2.2</t>
  </si>
  <si>
    <t>Washing machine</t>
  </si>
  <si>
    <t>05.3.1.2.3</t>
  </si>
  <si>
    <t>Tumble dryer</t>
  </si>
  <si>
    <t>05.3.1.2.4</t>
  </si>
  <si>
    <t>Washer dryer</t>
  </si>
  <si>
    <t>05.3.1.3.1</t>
  </si>
  <si>
    <t>Electric cooker</t>
  </si>
  <si>
    <t>05.3.1.3.2</t>
  </si>
  <si>
    <t>Gas cooker</t>
  </si>
  <si>
    <t>05.3.1.3.3</t>
  </si>
  <si>
    <t>Microwave oven</t>
  </si>
  <si>
    <t>05.3.1.3.4</t>
  </si>
  <si>
    <t>Other cookers</t>
  </si>
  <si>
    <t>05.3.1.4.1</t>
  </si>
  <si>
    <t>Electric heater</t>
  </si>
  <si>
    <t>05.3.1.4.2</t>
  </si>
  <si>
    <t>Other heaters and Air conditioners</t>
  </si>
  <si>
    <t>05.3.1.5.1</t>
  </si>
  <si>
    <t>Vacuum cleaner</t>
  </si>
  <si>
    <t>05.3.1.5.2</t>
  </si>
  <si>
    <t>Other cleaning equipment</t>
  </si>
  <si>
    <t>05.3.1.9</t>
  </si>
  <si>
    <t>Other major household applicances</t>
  </si>
  <si>
    <t>05.3.2.1.1</t>
  </si>
  <si>
    <t>Food processor, blender/smoothie maker</t>
  </si>
  <si>
    <t>05.3.2.2.1</t>
  </si>
  <si>
    <t>Coffee maker</t>
  </si>
  <si>
    <t>05.3.2.2.2</t>
  </si>
  <si>
    <t>Kettle</t>
  </si>
  <si>
    <t>05.3.2.2.3</t>
  </si>
  <si>
    <t>Water boiler &amp; tea maker</t>
  </si>
  <si>
    <t>05.3.2.3</t>
  </si>
  <si>
    <t>Irons</t>
  </si>
  <si>
    <t>05.3.2.4.1</t>
  </si>
  <si>
    <t>Toaster</t>
  </si>
  <si>
    <t>05.3.2.4.2</t>
  </si>
  <si>
    <t>Health grill - electric</t>
  </si>
  <si>
    <t>05.3.2.4.3</t>
  </si>
  <si>
    <t>Sandwich maker</t>
  </si>
  <si>
    <t>05.3.2.9.1</t>
  </si>
  <si>
    <t>Deep fat fryer</t>
  </si>
  <si>
    <t>05.3.2.9.2</t>
  </si>
  <si>
    <t>Baby monitor</t>
  </si>
  <si>
    <t>05.3.2.9.3</t>
  </si>
  <si>
    <t>Slow cooker</t>
  </si>
  <si>
    <t>05.3.2.9.4</t>
  </si>
  <si>
    <t>Other small electric household appliances</t>
  </si>
  <si>
    <t>05.3.3.1</t>
  </si>
  <si>
    <t>Gas and electric appliance spare parts</t>
  </si>
  <si>
    <t>05.3.3.2.1</t>
  </si>
  <si>
    <t>Repairs  for electrical appliances</t>
  </si>
  <si>
    <t>05.3.3.2.2</t>
  </si>
  <si>
    <t>Repairs  for gas appliances</t>
  </si>
  <si>
    <t>05.3.3.2.3</t>
  </si>
  <si>
    <t>Rental/hire of household appliances</t>
  </si>
  <si>
    <t>05.4.0.1.1</t>
  </si>
  <si>
    <t>Wine glasses</t>
  </si>
  <si>
    <t>05.4.0.1.2</t>
  </si>
  <si>
    <t>Glass tumbler</t>
  </si>
  <si>
    <t>05.4.0.1.3</t>
  </si>
  <si>
    <t>Other glassware</t>
  </si>
  <si>
    <t>05.4.0.1.4</t>
  </si>
  <si>
    <t>Casserole dish inc Pyrex</t>
  </si>
  <si>
    <t>05.4.0.1.5</t>
  </si>
  <si>
    <t>Coffee mug</t>
  </si>
  <si>
    <t>05.4.0.1.6</t>
  </si>
  <si>
    <t>Crockery combi service set</t>
  </si>
  <si>
    <t>05.4.0.1.7</t>
  </si>
  <si>
    <t>Tea pot</t>
  </si>
  <si>
    <t>05.4.0.1.8</t>
  </si>
  <si>
    <t>Other glassware, crystal ware, ceramic are and china ware</t>
  </si>
  <si>
    <t>05.4.0.2.1</t>
  </si>
  <si>
    <t>Carving knife</t>
  </si>
  <si>
    <t>05.4.0.2.2</t>
  </si>
  <si>
    <t>Cutlery set</t>
  </si>
  <si>
    <t>05.4.0.2.3</t>
  </si>
  <si>
    <t>Cutlery (not set)</t>
  </si>
  <si>
    <t>Bottle opener</t>
  </si>
  <si>
    <t>05.4.0.3.10</t>
  </si>
  <si>
    <t>Baby utensils and articles</t>
  </si>
  <si>
    <t>05.4.0.3.11</t>
  </si>
  <si>
    <t>Other non-electric kitchen utensils and articles</t>
  </si>
  <si>
    <t>Saucepan</t>
  </si>
  <si>
    <t>Frying pan</t>
  </si>
  <si>
    <t>Baking utensil</t>
  </si>
  <si>
    <t>Kitchen utensil</t>
  </si>
  <si>
    <t>Baking and roasting tins</t>
  </si>
  <si>
    <t>Chopping board</t>
  </si>
  <si>
    <t>Dustbin</t>
  </si>
  <si>
    <t>Ironing board</t>
  </si>
  <si>
    <t>05.4.0.4</t>
  </si>
  <si>
    <t>Repair of glassware, tableware and household utensils</t>
  </si>
  <si>
    <t>05.5.1.1.1</t>
  </si>
  <si>
    <t>Lawnmower</t>
  </si>
  <si>
    <t>05.5.1.1.2</t>
  </si>
  <si>
    <t>Power drill</t>
  </si>
  <si>
    <t>05.5.1.1.3</t>
  </si>
  <si>
    <t>Other DIY power tools</t>
  </si>
  <si>
    <t>05.5.1.1.4</t>
  </si>
  <si>
    <t>Other outdoor power tools</t>
  </si>
  <si>
    <t>05.5.1.2.1</t>
  </si>
  <si>
    <t>Tool hire</t>
  </si>
  <si>
    <t>05.5.1.2.2</t>
  </si>
  <si>
    <t>Tool repair</t>
  </si>
  <si>
    <t>05.5.2.1.1</t>
  </si>
  <si>
    <t>Garden tools</t>
  </si>
  <si>
    <t>05.5.2.1.2</t>
  </si>
  <si>
    <t>Hammer</t>
  </si>
  <si>
    <t>05.5.2.1.3</t>
  </si>
  <si>
    <t>Screwdriver</t>
  </si>
  <si>
    <t>05.5.2.1.4</t>
  </si>
  <si>
    <t>Ladders and steps</t>
  </si>
  <si>
    <t>05.5.2.1.5</t>
  </si>
  <si>
    <t>Other non-motorized small tools</t>
  </si>
  <si>
    <t>05.5.2.2.1</t>
  </si>
  <si>
    <t>Battery</t>
  </si>
  <si>
    <t>05.5.2.2.2</t>
  </si>
  <si>
    <t>Light bulb</t>
  </si>
  <si>
    <t>05.5.2.2.3</t>
  </si>
  <si>
    <t>Flashlight</t>
  </si>
  <si>
    <t>05.5.2.2.4</t>
  </si>
  <si>
    <t>Smoke alarm</t>
  </si>
  <si>
    <t>05.5.2.2.5</t>
  </si>
  <si>
    <t>Carbon monoxide detector</t>
  </si>
  <si>
    <t>05.5.2.2.6</t>
  </si>
  <si>
    <t>Electrical accessory</t>
  </si>
  <si>
    <t>05.5.2.2.7</t>
  </si>
  <si>
    <t>Clothes line</t>
  </si>
  <si>
    <t>05.5.2.2.8</t>
  </si>
  <si>
    <t>Other small tools accessories</t>
  </si>
  <si>
    <t>Repair of non-motorized small tools and miscellaneous accessories</t>
  </si>
  <si>
    <t>Automatic washing powder/liquid</t>
  </si>
  <si>
    <t>05.6.1.1.10</t>
  </si>
  <si>
    <t>Shoe polish or liquid</t>
  </si>
  <si>
    <t>05.6.1.1.11</t>
  </si>
  <si>
    <t>Other cleaning and maintenance products</t>
  </si>
  <si>
    <t>Fabric conditioner</t>
  </si>
  <si>
    <t>Washing liquid</t>
  </si>
  <si>
    <t>Dishwasher detergent</t>
  </si>
  <si>
    <t>Household cleaning products</t>
  </si>
  <si>
    <t>Bathroom cleaning products</t>
  </si>
  <si>
    <t>Disinfectant (domestic)</t>
  </si>
  <si>
    <t>Air freshener</t>
  </si>
  <si>
    <t>Other cleaning products</t>
  </si>
  <si>
    <t>Rubber gloves</t>
  </si>
  <si>
    <t>05.6.1.2.10</t>
  </si>
  <si>
    <t>Shopping bag</t>
  </si>
  <si>
    <t>05.6.1.2.11</t>
  </si>
  <si>
    <t>05.6.1.2.12</t>
  </si>
  <si>
    <t>Other non-durable small household articles</t>
  </si>
  <si>
    <t>Sweeping brush</t>
  </si>
  <si>
    <t>Household mop</t>
  </si>
  <si>
    <t>Kitchen paper</t>
  </si>
  <si>
    <t>Tin foil</t>
  </si>
  <si>
    <t>Cling film</t>
  </si>
  <si>
    <t>Matches</t>
  </si>
  <si>
    <t>Plastic rubbish bags</t>
  </si>
  <si>
    <t>Food &amp; sandwich bags</t>
  </si>
  <si>
    <t>05.6.2.1.1</t>
  </si>
  <si>
    <t>Gardeners services</t>
  </si>
  <si>
    <t>05.6.2.1.3</t>
  </si>
  <si>
    <t>Au pair/baby sitting</t>
  </si>
  <si>
    <t>05.6.2.1.4</t>
  </si>
  <si>
    <t>Other domestic help</t>
  </si>
  <si>
    <t>05.6.2.2.1</t>
  </si>
  <si>
    <t>Carpet cleaning services</t>
  </si>
  <si>
    <t>05.6.2.2.2</t>
  </si>
  <si>
    <t>Dry-cleaning</t>
  </si>
  <si>
    <t>05.6.2.2.3</t>
  </si>
  <si>
    <t>Laundery service</t>
  </si>
  <si>
    <t>05.6.2.3.1</t>
  </si>
  <si>
    <t>Hire of furniture and furnishings</t>
  </si>
  <si>
    <t>05.6.2.9.1</t>
  </si>
  <si>
    <t>Window cleaners services</t>
  </si>
  <si>
    <t>05.6.2.9.2</t>
  </si>
  <si>
    <t>Cleaner services</t>
  </si>
  <si>
    <t>05.6.2.9.3</t>
  </si>
  <si>
    <t>Other cleaning services</t>
  </si>
  <si>
    <t>06.1.1.0.1</t>
  </si>
  <si>
    <t>Prescribed drugs</t>
  </si>
  <si>
    <t>06.1.1.0.2</t>
  </si>
  <si>
    <t>Vitamins and other supplements</t>
  </si>
  <si>
    <t>06.1.1.0.3</t>
  </si>
  <si>
    <t>Pain reliever</t>
  </si>
  <si>
    <t>06.1.1.0.4</t>
  </si>
  <si>
    <t>Antacid</t>
  </si>
  <si>
    <t>06.1.1.0.5</t>
  </si>
  <si>
    <t>Cough mixture</t>
  </si>
  <si>
    <t>06.1.1.0.6</t>
  </si>
  <si>
    <t>06.1.1.0.7</t>
  </si>
  <si>
    <t>E cigarettes</t>
  </si>
  <si>
    <t>06.1.1.0.8</t>
  </si>
  <si>
    <t>Other pharmaceutical products</t>
  </si>
  <si>
    <t>06.1.2.1.1</t>
  </si>
  <si>
    <t>Condoms</t>
  </si>
  <si>
    <t>06.1.2.1.2</t>
  </si>
  <si>
    <t>Pregnancy test</t>
  </si>
  <si>
    <t>06.1.2.2.1</t>
  </si>
  <si>
    <t>Petroleum jelly</t>
  </si>
  <si>
    <t>06.1.2.2.2</t>
  </si>
  <si>
    <t>Disinfectant - first aid</t>
  </si>
  <si>
    <t>06.1.2.2.3</t>
  </si>
  <si>
    <t>Adhesive dressing</t>
  </si>
  <si>
    <t>06.1.2.2.4</t>
  </si>
  <si>
    <t>Other medical products NEC</t>
  </si>
  <si>
    <t>06.2.1.1</t>
  </si>
  <si>
    <t>GP fees</t>
  </si>
  <si>
    <t>06.2.1.2</t>
  </si>
  <si>
    <t>Specialist practice (inc consultant, orthodontist)</t>
  </si>
  <si>
    <t>06.2.2.0</t>
  </si>
  <si>
    <t>Dental service</t>
  </si>
  <si>
    <t>06.2.3.1</t>
  </si>
  <si>
    <t>Services of medial analysis laboratories and x-ray centres</t>
  </si>
  <si>
    <t>06.2.3.2</t>
  </si>
  <si>
    <t>Thermal-baths, corrective-gymnastic therapy, ambulance services and hire of therapeutic equipment</t>
  </si>
  <si>
    <t>06.2.3.9.1</t>
  </si>
  <si>
    <t>Physiotherapist</t>
  </si>
  <si>
    <t>06.2.3.9.2</t>
  </si>
  <si>
    <t>Homeopath fees</t>
  </si>
  <si>
    <t>06.2.3.9.3</t>
  </si>
  <si>
    <t>Chiropractor fees</t>
  </si>
  <si>
    <t>06.2.3.9.4</t>
  </si>
  <si>
    <t>Acupuncturist fees</t>
  </si>
  <si>
    <t>06.2.3.9.5</t>
  </si>
  <si>
    <t>OTHER ALTERNATIVE AND COMPLEMENTARY MEDICINE</t>
  </si>
  <si>
    <t>06.2.3.9.6</t>
  </si>
  <si>
    <t>Other paramedical services</t>
  </si>
  <si>
    <t>Hospital services</t>
  </si>
  <si>
    <t>07.1.1.1.1</t>
  </si>
  <si>
    <t>Motor cars purchase new  - outright</t>
  </si>
  <si>
    <t>07.1.1.1.2</t>
  </si>
  <si>
    <t>Motor cars purchase new - loan/hp</t>
  </si>
  <si>
    <t>07.1.1.1.3</t>
  </si>
  <si>
    <t>Van purchase new - outright</t>
  </si>
  <si>
    <t>07.1.1.1.4</t>
  </si>
  <si>
    <t>Van purchase new - loan/hp</t>
  </si>
  <si>
    <t>07.1.1.2.1</t>
  </si>
  <si>
    <t>Motor cars purchase second hand - outright</t>
  </si>
  <si>
    <t>07.1.1.2.2</t>
  </si>
  <si>
    <t>Motor cars purchase second hand - loan/hp</t>
  </si>
  <si>
    <t>07.1.1.2.3</t>
  </si>
  <si>
    <t>Van purchase second hand - outright</t>
  </si>
  <si>
    <t>07.1.1.2.4</t>
  </si>
  <si>
    <t>Van purchase second hand - loan/hp</t>
  </si>
  <si>
    <t>07.1.2.1.1</t>
  </si>
  <si>
    <t>New/second hand motorcycle purchase - outright</t>
  </si>
  <si>
    <t>07.1.2.1.2</t>
  </si>
  <si>
    <t>New/second hand motorcycle purchase - loan/hp</t>
  </si>
  <si>
    <t>07.1.3.1.1</t>
  </si>
  <si>
    <t>Adult's bicycle</t>
  </si>
  <si>
    <t>07.1.3.1.2</t>
  </si>
  <si>
    <t>Children's bicycle</t>
  </si>
  <si>
    <t>07.1.3.1.3</t>
  </si>
  <si>
    <t>Other bicycles, eg rickshaw, tandem</t>
  </si>
  <si>
    <t>07.1.4.1.1</t>
  </si>
  <si>
    <t>Animal drawn vehicles</t>
  </si>
  <si>
    <t>07.2.1.1.1</t>
  </si>
  <si>
    <t>Motor car tyres</t>
  </si>
  <si>
    <t>07.2.1.1.2</t>
  </si>
  <si>
    <t>Tyres for other vehicles (eg bicycle, motor cycle)</t>
  </si>
  <si>
    <t>07.2.1.2.1</t>
  </si>
  <si>
    <t>Spare parts for motor cars (ex tyres)</t>
  </si>
  <si>
    <t>07.2.1.3.1</t>
  </si>
  <si>
    <t>Car accessories, fittings eg tools, car jack</t>
  </si>
  <si>
    <t>07.2.1.3.2</t>
  </si>
  <si>
    <t>Sat navs</t>
  </si>
  <si>
    <t>07.2.1.3.3</t>
  </si>
  <si>
    <t>Motorcycle accessories</t>
  </si>
  <si>
    <t>07.2.1.3.4</t>
  </si>
  <si>
    <t>Anti-freeze, battery water, cleaning materials &amp; personal up keep of car</t>
  </si>
  <si>
    <t>Diesel</t>
  </si>
  <si>
    <t>Petrol</t>
  </si>
  <si>
    <t>07.2.2.3.1</t>
  </si>
  <si>
    <t>Other motor oils eg Castrol</t>
  </si>
  <si>
    <t>07.2.2.3.2</t>
  </si>
  <si>
    <t>Other fuels for personal transport equipment</t>
  </si>
  <si>
    <t>07.2.2.4.1</t>
  </si>
  <si>
    <t>Lubricants</t>
  </si>
  <si>
    <t>07.2.3.1.1</t>
  </si>
  <si>
    <t>Car wash</t>
  </si>
  <si>
    <t>07.2.3.1.2</t>
  </si>
  <si>
    <t>Car maintenance (service)</t>
  </si>
  <si>
    <t>07.2.3.2.2</t>
  </si>
  <si>
    <t>Car breakdown services</t>
  </si>
  <si>
    <t>07.2.3.2.3</t>
  </si>
  <si>
    <t>Motor cycle repair and services</t>
  </si>
  <si>
    <t>Puncture repair</t>
  </si>
  <si>
    <t>07.2.4.1.1</t>
  </si>
  <si>
    <t>Car rental services</t>
  </si>
  <si>
    <t>07.2.4.1.2</t>
  </si>
  <si>
    <t>Other vehicle rental</t>
  </si>
  <si>
    <t>07.2.4.1.3</t>
  </si>
  <si>
    <t>Garage/Parking space rental</t>
  </si>
  <si>
    <t>07.2.4.2.1</t>
  </si>
  <si>
    <t>Parking fees</t>
  </si>
  <si>
    <t>07.2.4.2.2</t>
  </si>
  <si>
    <t>Toll charges</t>
  </si>
  <si>
    <t>07.2.4.3.1</t>
  </si>
  <si>
    <t>Driving lessons</t>
  </si>
  <si>
    <t>07.2.4.3.2</t>
  </si>
  <si>
    <t>Driving test fee</t>
  </si>
  <si>
    <t>07.2.4.3.3</t>
  </si>
  <si>
    <t>Driving licence</t>
  </si>
  <si>
    <t>07.2.4.3.4</t>
  </si>
  <si>
    <t>National car test (NCT)</t>
  </si>
  <si>
    <t>07.3.1.1.1</t>
  </si>
  <si>
    <t>Rail season ticket</t>
  </si>
  <si>
    <t>07.3.1.1.2</t>
  </si>
  <si>
    <t>Rail fares (other than season ticket)</t>
  </si>
  <si>
    <t>07.3.1.2.1</t>
  </si>
  <si>
    <t>Luas fares season ticket</t>
  </si>
  <si>
    <t>07.3.1.2.2</t>
  </si>
  <si>
    <t>Luas fares (other than season ticket)</t>
  </si>
  <si>
    <t>07.3.2.1.1</t>
  </si>
  <si>
    <t>Bus or coach season tickets</t>
  </si>
  <si>
    <t>07.3.2.1.2</t>
  </si>
  <si>
    <t>Bus or coach (other than season ticket)</t>
  </si>
  <si>
    <t>07.3.2.1.3</t>
  </si>
  <si>
    <t>School transport</t>
  </si>
  <si>
    <t>07.3.2.2.1</t>
  </si>
  <si>
    <t>Taxi fares</t>
  </si>
  <si>
    <t>07.3.3.1</t>
  </si>
  <si>
    <t>Domestic flights</t>
  </si>
  <si>
    <t>07.3.3.2</t>
  </si>
  <si>
    <t>International flights</t>
  </si>
  <si>
    <t>07.3.4.1</t>
  </si>
  <si>
    <t>Passenger transport by sea</t>
  </si>
  <si>
    <t>07.3.4.2</t>
  </si>
  <si>
    <t>Passenger transport by inland waterway</t>
  </si>
  <si>
    <t>07.3.5.1.1</t>
  </si>
  <si>
    <t>Combined passenger transport (season tickets)</t>
  </si>
  <si>
    <t>07.3.5.1.2</t>
  </si>
  <si>
    <t>Combined passenger transport (non-season tickets)</t>
  </si>
  <si>
    <t>07.3.6.1</t>
  </si>
  <si>
    <t>Funicular, cable-car and chair-lift transport</t>
  </si>
  <si>
    <t>07.3.6.2.1</t>
  </si>
  <si>
    <t>Furniture removal</t>
  </si>
  <si>
    <t>07.3.6.2.2</t>
  </si>
  <si>
    <t>Other removal and storage services</t>
  </si>
  <si>
    <t>07.3.6.9.1</t>
  </si>
  <si>
    <t>Delivery charges</t>
  </si>
  <si>
    <t>07.3.6.9.2</t>
  </si>
  <si>
    <t>Other purchased transport services</t>
  </si>
  <si>
    <t>08.1.0.1</t>
  </si>
  <si>
    <t>LETTER HANDLING SERVICES</t>
  </si>
  <si>
    <t>08.1.0.9</t>
  </si>
  <si>
    <t>OTHER POSTAL SERVICES</t>
  </si>
  <si>
    <t>08.2.0.1</t>
  </si>
  <si>
    <t>FIXED TELEPHONE EQUIPMENT</t>
  </si>
  <si>
    <t>08.2.0.2</t>
  </si>
  <si>
    <t>MOBILE TELEPHONE EQUIPMENT</t>
  </si>
  <si>
    <t>08.2.0.3</t>
  </si>
  <si>
    <t>OTHER EQUIPMENT OF TELEPHONE AND TELEFAX EQUIPMENT</t>
  </si>
  <si>
    <t>08.2.0.4</t>
  </si>
  <si>
    <t>REPAIR OF TELEPHONE OR TELEFAX EQUIPMENT</t>
  </si>
  <si>
    <t>08.3.0.1.1</t>
  </si>
  <si>
    <t>Telephone account payment</t>
  </si>
  <si>
    <t>08.3.0.1.2</t>
  </si>
  <si>
    <t>Second dwelling telephone account</t>
  </si>
  <si>
    <t>08.3.0.1.3</t>
  </si>
  <si>
    <t>Payphone and telephone card</t>
  </si>
  <si>
    <t>08.3.0.2.1</t>
  </si>
  <si>
    <t>Mobile phone account payments</t>
  </si>
  <si>
    <t>08.3.0.2.2</t>
  </si>
  <si>
    <t>Mobile phone - top up cards &amp; other payments</t>
  </si>
  <si>
    <t>08.3.0.3</t>
  </si>
  <si>
    <t>INTERNET ACCESS PROVISION SERVICES</t>
  </si>
  <si>
    <t>08.3.0.4.1</t>
  </si>
  <si>
    <t>Telephone internet bundle</t>
  </si>
  <si>
    <t>08.3.0.4.2</t>
  </si>
  <si>
    <t>Telephone television bundle</t>
  </si>
  <si>
    <t>08.3.0.4.3</t>
  </si>
  <si>
    <t>Internet television bundle</t>
  </si>
  <si>
    <t>08.3.0.4.4</t>
  </si>
  <si>
    <t>Telephone internet television bundle</t>
  </si>
  <si>
    <t>08.3.0.4.5</t>
  </si>
  <si>
    <t>Other bundled telecommunication services</t>
  </si>
  <si>
    <t>08.3.0.5</t>
  </si>
  <si>
    <t>OTHER INFORMATION TRANSMISSION SERVICES</t>
  </si>
  <si>
    <t>09.1.1.1.1</t>
  </si>
  <si>
    <t>CLOCK RADIO</t>
  </si>
  <si>
    <t>09.1.1.1.2</t>
  </si>
  <si>
    <t>MIDI SYSTEM</t>
  </si>
  <si>
    <t>09.1.1.1.3</t>
  </si>
  <si>
    <t>HOME CINEMA SURROUND SOUND SYSTEM</t>
  </si>
  <si>
    <t>09.1.1.1.5</t>
  </si>
  <si>
    <t>OTHER RADIOS AND MUSIC PLAYERS</t>
  </si>
  <si>
    <t>In car audio</t>
  </si>
  <si>
    <t>09.1.1.2.1</t>
  </si>
  <si>
    <t>SMART TV</t>
  </si>
  <si>
    <t>09.1.1.2.2</t>
  </si>
  <si>
    <t>TELEVISION (NOT SMART) - UP TO 26"</t>
  </si>
  <si>
    <t>09.1.1.2.3</t>
  </si>
  <si>
    <t>TELEVISION (NOT SMART) - 32"-42"</t>
  </si>
  <si>
    <t>09.1.1.2.4</t>
  </si>
  <si>
    <t>TELEVISION - &gt; 42"</t>
  </si>
  <si>
    <t>09.1.1.2.5</t>
  </si>
  <si>
    <t>MP4 DOCKING STATION</t>
  </si>
  <si>
    <t>09.1.1.2.6</t>
  </si>
  <si>
    <t>Satellite dish/Cable Tv purchase/installation</t>
  </si>
  <si>
    <t>09.1.1.2.7</t>
  </si>
  <si>
    <t>DVD/Blu Ray players</t>
  </si>
  <si>
    <t>09.1.1.2.8</t>
  </si>
  <si>
    <t>Digital media player</t>
  </si>
  <si>
    <t>09.1.1.3.1</t>
  </si>
  <si>
    <t>MP3/MP4 PLAYER</t>
  </si>
  <si>
    <t>09.1.1.3.2</t>
  </si>
  <si>
    <t>OTHER PORTABLE SOUND AND VISION DEVICES</t>
  </si>
  <si>
    <t>09.1.1.9.1</t>
  </si>
  <si>
    <t>Accessories for audio equipment eg headphones</t>
  </si>
  <si>
    <t>09.1.1.9.2</t>
  </si>
  <si>
    <t>Digital photo frames</t>
  </si>
  <si>
    <t>09.1.1.9.3</t>
  </si>
  <si>
    <t>Spare parts for TV, video, audio, computers, aerial splitter, microphone adaptor, video cable</t>
  </si>
  <si>
    <t>09.1.2.1.1</t>
  </si>
  <si>
    <t>DIGITAL CAMERA</t>
  </si>
  <si>
    <t>09.1.2.1.2</t>
  </si>
  <si>
    <t>DISPOSABLE CAMERAS</t>
  </si>
  <si>
    <t>09.1.2.1.3</t>
  </si>
  <si>
    <t>CAMCORDER</t>
  </si>
  <si>
    <t>09.1.2.2</t>
  </si>
  <si>
    <t>ACCESSORIES FOR PHOTOGRAPHIC AND CINEMATOGRAPHIC EQUIPMENT</t>
  </si>
  <si>
    <t>09.1.2.3</t>
  </si>
  <si>
    <t>OPTICAL INSTRUMENTS</t>
  </si>
  <si>
    <t>09.1.3.1.1</t>
  </si>
  <si>
    <t>DESKTOPS, LAPTOPS ETC</t>
  </si>
  <si>
    <t>09.1.3.1.2</t>
  </si>
  <si>
    <t>MEDIA TABLETS</t>
  </si>
  <si>
    <t>09.1.3.2</t>
  </si>
  <si>
    <t>ACCESSORIES FOR INFORMATION PROCESSING EQUIPMENT</t>
  </si>
  <si>
    <t>09.1.3.3</t>
  </si>
  <si>
    <t>SOFTWARE</t>
  </si>
  <si>
    <t>09.1.3.4</t>
  </si>
  <si>
    <t>CALCULATORS AND OTHER INFORMATION PROCESSING EQUIPMENT</t>
  </si>
  <si>
    <t>09.1.4.1.1</t>
  </si>
  <si>
    <t>DVD PRE-RECORDED</t>
  </si>
  <si>
    <t>09.1.4.1.2</t>
  </si>
  <si>
    <t>CD ALBUM</t>
  </si>
  <si>
    <t>09.1.4.1.3</t>
  </si>
  <si>
    <t>MUSIC DOWNLOADS</t>
  </si>
  <si>
    <t>09.1.4.1.4</t>
  </si>
  <si>
    <t>App</t>
  </si>
  <si>
    <t>09.1.4.2.1</t>
  </si>
  <si>
    <t>CD (R &amp; RW)</t>
  </si>
  <si>
    <t>09.1.4.2.2</t>
  </si>
  <si>
    <t>OTHER UNRECORDED RECORDING MEDIA</t>
  </si>
  <si>
    <t>09.1.4.9.1</t>
  </si>
  <si>
    <t>FILM OR MEMORY CARD</t>
  </si>
  <si>
    <t>09.1.4.9.2</t>
  </si>
  <si>
    <t>HARD DRIVES</t>
  </si>
  <si>
    <t>09.1.4.9.3</t>
  </si>
  <si>
    <t>MEMORY STICKS</t>
  </si>
  <si>
    <t>09.1.4.9.4</t>
  </si>
  <si>
    <t>Supplies for photographic or cinematographic use</t>
  </si>
  <si>
    <t>09.1.5.0.1</t>
  </si>
  <si>
    <t>COMPUTER REPAIRS</t>
  </si>
  <si>
    <t>09.1.5.0.2</t>
  </si>
  <si>
    <t>OTHER REPAIRS OF AUDIO-VISUAL, PHOTOGRAPHIC AND INFORMATION PROCESSING EQUIPMENT</t>
  </si>
  <si>
    <t>09.2.1.1</t>
  </si>
  <si>
    <t>CAMPER VANS, CARAVANS AND TRAILERS</t>
  </si>
  <si>
    <t>09.2.1.2</t>
  </si>
  <si>
    <t>AEROPLANES, MICROLIGHT AIRCRAFT, GLIDERS, HANG-GLIDERS AND HOT-AIR BALLOONS</t>
  </si>
  <si>
    <t>09.2.1.3</t>
  </si>
  <si>
    <t>BOATS, OUTBOARD MOTORS AND FITTING OUT OF BOATS</t>
  </si>
  <si>
    <t>09.2.1.4</t>
  </si>
  <si>
    <t>HORSES, PONIES AND ACCESSORIES</t>
  </si>
  <si>
    <t>09.2.1.5.1</t>
  </si>
  <si>
    <t>WATER SPORTS EQUIPMENT</t>
  </si>
  <si>
    <t>09.2.1.5.2</t>
  </si>
  <si>
    <t>OTHER MAJOR ITEMS FOR GAMES AND SPORTS</t>
  </si>
  <si>
    <t>09.2.2.1</t>
  </si>
  <si>
    <t>MUSCIAL INSTRUMENTS</t>
  </si>
  <si>
    <t>09.2.2.2</t>
  </si>
  <si>
    <t>MAJOR DURABLES FOR INDOOR RECREATION</t>
  </si>
  <si>
    <t>09.2.3</t>
  </si>
  <si>
    <t>MAINTENANCE AND REPAIR OF OTHER MAJOR DURABLES FOR RECREATION AND CULTURE</t>
  </si>
  <si>
    <t>09.3.1.1.1</t>
  </si>
  <si>
    <t>COMPUTER GAMES CONSOLE</t>
  </si>
  <si>
    <t>09.3.1.1.2</t>
  </si>
  <si>
    <t>COMPUTER GAME</t>
  </si>
  <si>
    <t>09.3.1.1.3</t>
  </si>
  <si>
    <t>GROUP GAME</t>
  </si>
  <si>
    <t>09.3.1.1.4</t>
  </si>
  <si>
    <t>OTHER GAMES AND HOBBIES</t>
  </si>
  <si>
    <t>09.3.1.2.1</t>
  </si>
  <si>
    <t>CHILD'S DOLL</t>
  </si>
  <si>
    <t>09.3.1.2.2</t>
  </si>
  <si>
    <t>MODEL CAR/TRACTOR/LORRY</t>
  </si>
  <si>
    <t>09.3.1.2.3</t>
  </si>
  <si>
    <t>LEGO &amp; BUILDING BLOCKS</t>
  </si>
  <si>
    <t>09.3.1.2.4</t>
  </si>
  <si>
    <t>EDUCATIONAL TOY</t>
  </si>
  <si>
    <t>09.3.1.2.5</t>
  </si>
  <si>
    <t>SOFT CUDDLY TOY</t>
  </si>
  <si>
    <t>09.3.1.2.6</t>
  </si>
  <si>
    <t>MOTORISED TOY</t>
  </si>
  <si>
    <t>09.3.1.2.7</t>
  </si>
  <si>
    <t>OTHER TOYS AND CELEBRATION ARTICLES</t>
  </si>
  <si>
    <t>09.3.1.2.8</t>
  </si>
  <si>
    <t>CELEBRATION ARTICLES</t>
  </si>
  <si>
    <t>09.3.2.1</t>
  </si>
  <si>
    <t>EQUIPMENT FOR SPORT</t>
  </si>
  <si>
    <t>09.3.2.2</t>
  </si>
  <si>
    <t>EQUIPMENT FOR CAMPING AND OPEN AIR RECREATION</t>
  </si>
  <si>
    <t>09.3.2.3</t>
  </si>
  <si>
    <t>REPAIR OF EQUIPMENT FOR SPORT, CAMPING AND OPEN AIR RECREATION</t>
  </si>
  <si>
    <t>09.3.3.1.1</t>
  </si>
  <si>
    <t>FLOWER POT</t>
  </si>
  <si>
    <t>09.3.3.1.2</t>
  </si>
  <si>
    <t>SOIL, PEAT &amp; FERTILISER</t>
  </si>
  <si>
    <t>09.3.3.1.3</t>
  </si>
  <si>
    <t>WEED KILLER</t>
  </si>
  <si>
    <t>09.3.3.1.4</t>
  </si>
  <si>
    <t>OTHER GARDEN PRODUCTS (NOT EQUIPMENT)</t>
  </si>
  <si>
    <t>09.3.3.1.5</t>
  </si>
  <si>
    <t>Garden decoratives</t>
  </si>
  <si>
    <t>09.3.3.2.1</t>
  </si>
  <si>
    <t>CUT FLOWERS</t>
  </si>
  <si>
    <t>09.3.3.2.2</t>
  </si>
  <si>
    <t>INDOOR PLANTS</t>
  </si>
  <si>
    <t>09.3.3.2.3</t>
  </si>
  <si>
    <t>FLOWERS/BUSHES/SHURBS FOR THE GARDEN</t>
  </si>
  <si>
    <t>09.3.3.2.4</t>
  </si>
  <si>
    <t>Flower seeds and bulbs</t>
  </si>
  <si>
    <t>09.3.3.2.5</t>
  </si>
  <si>
    <t>Artificial flowers, pot pourri</t>
  </si>
  <si>
    <t>09.3.4.1</t>
  </si>
  <si>
    <t>PURCHASE OF PETS</t>
  </si>
  <si>
    <t>09.3.4.2.1</t>
  </si>
  <si>
    <t>PET FOOD</t>
  </si>
  <si>
    <t>09.3.4.2.2</t>
  </si>
  <si>
    <t>OTHER PRODUCTS FOR PETS</t>
  </si>
  <si>
    <t>09.3.5</t>
  </si>
  <si>
    <t>VETERINARY AND OTHER SERVICES FOR PETS</t>
  </si>
  <si>
    <t>09.4.1.1</t>
  </si>
  <si>
    <t>RECREATIONAL AND SPORTING SERVICES - ATTENDANCE</t>
  </si>
  <si>
    <t>09.4.1.2.1</t>
  </si>
  <si>
    <t>SUBSCRIPTION TO SPORTS AND SOCIAL CLUBS</t>
  </si>
  <si>
    <t>09.4.1.2.2</t>
  </si>
  <si>
    <t>FEES TO LEISURE CLASSES</t>
  </si>
  <si>
    <t>09.4.1.2.3</t>
  </si>
  <si>
    <t>OTHER RECREATIONAL AND SPORTING SERVICES - PARTICIPATION</t>
  </si>
  <si>
    <t>09.4.2.1.1</t>
  </si>
  <si>
    <t>CINEMAS</t>
  </si>
  <si>
    <t>09.4.2.1.2</t>
  </si>
  <si>
    <t>THEATRES AND CONCERTS</t>
  </si>
  <si>
    <t>09.4.2.1.3</t>
  </si>
  <si>
    <t>ADMISSION TO CLUBS, DANCES DISCOS</t>
  </si>
  <si>
    <t>09.4.2.2</t>
  </si>
  <si>
    <t>MUSEUMS, LIBRARIES, ZOOLOGICAL GARDENS</t>
  </si>
  <si>
    <t>09.4.2.3.1</t>
  </si>
  <si>
    <t>CABLE TV SUBSCRIPTION</t>
  </si>
  <si>
    <t>09.4.2.3.2</t>
  </si>
  <si>
    <t>SATELLITE TV SUBSCRIPTION</t>
  </si>
  <si>
    <t>09.4.2.3.3</t>
  </si>
  <si>
    <t>PAY PER VIEW</t>
  </si>
  <si>
    <t>09.4.2.3.4</t>
  </si>
  <si>
    <t>TV LICENCE</t>
  </si>
  <si>
    <t>09.4.2.4.1.1</t>
  </si>
  <si>
    <t>DVD/CD RENTAL</t>
  </si>
  <si>
    <t>09.4.2.4.1.2</t>
  </si>
  <si>
    <t>BOOK rental</t>
  </si>
  <si>
    <t>09.4.2.4.2</t>
  </si>
  <si>
    <t>OTHER HIRE OF EQUIPMENT AND ACCESSORIES FOR CULTURE</t>
  </si>
  <si>
    <t>09.4.2.5.1</t>
  </si>
  <si>
    <t>PASSPORT PHOTO</t>
  </si>
  <si>
    <t>09.4.2.5.2</t>
  </si>
  <si>
    <t>DIGITAL PHOTO PRINTING</t>
  </si>
  <si>
    <t>09.4.2.5.3</t>
  </si>
  <si>
    <t>PHOTO DEVELOPMENT</t>
  </si>
  <si>
    <t>09.4.2.5.4</t>
  </si>
  <si>
    <t>OTHER PHOTOGRAPHIC SERVICES</t>
  </si>
  <si>
    <t>09.4.2.9</t>
  </si>
  <si>
    <t>OTHER CULTURAL SERVICES</t>
  </si>
  <si>
    <t>09.4.3.1</t>
  </si>
  <si>
    <t>Football pools stakes</t>
  </si>
  <si>
    <t>09.4.3.2</t>
  </si>
  <si>
    <t>Bingo stakes, excl admission</t>
  </si>
  <si>
    <t>09.4.3.3</t>
  </si>
  <si>
    <t>Bookmaker, tote, other betting stakes</t>
  </si>
  <si>
    <t>09.4.3.4</t>
  </si>
  <si>
    <t>National Lottery scratch cards and telly bingo</t>
  </si>
  <si>
    <t>09.4.3.5</t>
  </si>
  <si>
    <t>National Lottery stakes - Midweek or Saturday draw</t>
  </si>
  <si>
    <t>09.4.3.6</t>
  </si>
  <si>
    <t>Bookmaker, tote, other betting winnings</t>
  </si>
  <si>
    <t>09.4.3.7</t>
  </si>
  <si>
    <t>Irish lottery winnings</t>
  </si>
  <si>
    <t>09.4.3.8</t>
  </si>
  <si>
    <t>National Lottery instants winnings</t>
  </si>
  <si>
    <t>09.4.3.9</t>
  </si>
  <si>
    <t>National Lottery winnings - Midweek or Saturday draw</t>
  </si>
  <si>
    <t>09.5.1.1.1</t>
  </si>
  <si>
    <t>INFANT BOOKS</t>
  </si>
  <si>
    <t>09.5.1.1.2</t>
  </si>
  <si>
    <t>PAPERBACK FICTION BOOKS</t>
  </si>
  <si>
    <t>09.5.1.1.3</t>
  </si>
  <si>
    <t>OTHER FICTION BOOKS</t>
  </si>
  <si>
    <t>09.5.1.2</t>
  </si>
  <si>
    <t>EDUCATIONAL TEXT BOOKS</t>
  </si>
  <si>
    <t>09.5.1.3</t>
  </si>
  <si>
    <t>OTHER NON-FICTION BOOKS</t>
  </si>
  <si>
    <t>09.5.1.4.1</t>
  </si>
  <si>
    <t>E-BOOK DOWNLOADS</t>
  </si>
  <si>
    <t>09.5.1.4.2</t>
  </si>
  <si>
    <t>Binding services</t>
  </si>
  <si>
    <t>09.5.2.1</t>
  </si>
  <si>
    <t>Newspapers</t>
  </si>
  <si>
    <t>09.5.2.2.1</t>
  </si>
  <si>
    <t>MAGAZINES</t>
  </si>
  <si>
    <t>09.5.2.2.2</t>
  </si>
  <si>
    <t>COMICS</t>
  </si>
  <si>
    <t>09.5.3.0.1</t>
  </si>
  <si>
    <t>GREETING CARDS</t>
  </si>
  <si>
    <t>09.5.3.0.2</t>
  </si>
  <si>
    <t>OTHER MISCELLANEOUS PRINTED MATTER</t>
  </si>
  <si>
    <t>09.5.4.1.1</t>
  </si>
  <si>
    <t>SCHOOL COPYBOOK</t>
  </si>
  <si>
    <t>09.5.4.1.2</t>
  </si>
  <si>
    <t>ENVELOPES</t>
  </si>
  <si>
    <t>09.5.4.1.3</t>
  </si>
  <si>
    <t>REFILL PAD</t>
  </si>
  <si>
    <t>09.5.4.1.4</t>
  </si>
  <si>
    <t>PRINTER PAPER</t>
  </si>
  <si>
    <t>09.5.4.1.5</t>
  </si>
  <si>
    <t>OTHER PAPER PRODUCTS</t>
  </si>
  <si>
    <t>09.5.4.2.1</t>
  </si>
  <si>
    <t>SELLOTAPE</t>
  </si>
  <si>
    <t>09.5.4.2.2</t>
  </si>
  <si>
    <t>LEAD PENCIL</t>
  </si>
  <si>
    <t>09.5.4.2.3</t>
  </si>
  <si>
    <t>BALLPOINT PEN</t>
  </si>
  <si>
    <t>09.5.4.2.4</t>
  </si>
  <si>
    <t>MARKERS &amp; CRAYONS</t>
  </si>
  <si>
    <t>09.5.4.2.5</t>
  </si>
  <si>
    <t>INKJET CARTRIDGES</t>
  </si>
  <si>
    <t>09.5.4.2.6</t>
  </si>
  <si>
    <t>09.6.0.1</t>
  </si>
  <si>
    <t>09.6.0.2</t>
  </si>
  <si>
    <t>White flour</t>
  </si>
  <si>
    <t>White self-raising flour</t>
  </si>
  <si>
    <t>Brown wholemeal flour</t>
  </si>
  <si>
    <t>Other flour</t>
  </si>
  <si>
    <t>Other cereals</t>
  </si>
  <si>
    <t>10.1.1</t>
  </si>
  <si>
    <t>PRE-PRIMARY EDUCATION</t>
  </si>
  <si>
    <t>10.1.2.1</t>
  </si>
  <si>
    <t>PRIVATE PRIMARY EDUCATION</t>
  </si>
  <si>
    <t>10.1.2.2</t>
  </si>
  <si>
    <t>OTHER PRIMARY EDUCATION</t>
  </si>
  <si>
    <t>10.1.2.3</t>
  </si>
  <si>
    <t>PRIMARY EDUATION EXAMINATION FEES</t>
  </si>
  <si>
    <t>10.2.1.1</t>
  </si>
  <si>
    <t>PRIVATE SECOND LEVEL DAY FEES FOR HOUSEHOLD MEMBER</t>
  </si>
  <si>
    <t>10.2.1.2</t>
  </si>
  <si>
    <t>PRIVATE SECOND LEVEL DAY FEES FOR NON HOUSEHOLD MEMBER</t>
  </si>
  <si>
    <t>10.2.2.1</t>
  </si>
  <si>
    <t>BOARDING SCHOOL FEES FOR HOUSEHOLD MEMBER</t>
  </si>
  <si>
    <t>10.2.2.2</t>
  </si>
  <si>
    <t>BOARDING SCHOOL FEES FOR NON-HOUSEHOLD MEMBER</t>
  </si>
  <si>
    <t>10.2.3</t>
  </si>
  <si>
    <t>SECONDARY EDUATION EXAMINATION FEES</t>
  </si>
  <si>
    <t>10.2.4</t>
  </si>
  <si>
    <t>Other ad hoc secondary school expenditure eg baking ingredients, school trips</t>
  </si>
  <si>
    <t>10.3.1</t>
  </si>
  <si>
    <t>POST SECONDARY NON-TERTIARY EDUCATION FEES FOR HOUSEHOLD MEMBER</t>
  </si>
  <si>
    <t>10.3.2</t>
  </si>
  <si>
    <t>POST SECONDARY NON-TERTIARY EDUCATION FEES FOR NON-HOUSEHOLD MEMBER</t>
  </si>
  <si>
    <t>10.3.3</t>
  </si>
  <si>
    <t>OTHER POST SECONDARY NON-TERTIARY EXPENDITURE</t>
  </si>
  <si>
    <t>10.4.1.1</t>
  </si>
  <si>
    <t>THIRD LEVEL EDUCATION FEES  FOR HOUSEHOLD MEMBER</t>
  </si>
  <si>
    <t>10.4.1.2</t>
  </si>
  <si>
    <t>THIRD LEVEL EDUCATION FEES  FOR NON-HOUSEHOLD MEMBER</t>
  </si>
  <si>
    <t>10.4.1.3</t>
  </si>
  <si>
    <t>THIRD LEVEL EXAMINATION FEES</t>
  </si>
  <si>
    <t>10.4.1.4</t>
  </si>
  <si>
    <t>OTHER THIRD LEVEL EXPENDITURE</t>
  </si>
  <si>
    <t>10.5.1.1</t>
  </si>
  <si>
    <t>EDUCATION COURSES NOT DEFINABLE BY LEVEL FOR HOUSEHOLD MEMBER</t>
  </si>
  <si>
    <t>10.5.1.2</t>
  </si>
  <si>
    <t>EDUCATION COURSES NOT DEFINABLE BY LEVEL FOR NON-HOUSEHOLD MEMBER</t>
  </si>
  <si>
    <t>10.5.2</t>
  </si>
  <si>
    <t>MOTELS, INNS AND SIMILAR ACCOMMODATION SERVICES (ROI)</t>
  </si>
  <si>
    <t>11.2.1.1.1</t>
  </si>
  <si>
    <t>HOTELS (ROI)</t>
  </si>
  <si>
    <t>11.2.1.1.2</t>
  </si>
  <si>
    <t>GUEST HOUSES &amp; B&amp;BS (ROI)</t>
  </si>
  <si>
    <t>11.2.1.2.1</t>
  </si>
  <si>
    <t>HOTELS (ABROAD)</t>
  </si>
  <si>
    <t>11.2.1.2.2</t>
  </si>
  <si>
    <t>11.2.1.2.3</t>
  </si>
  <si>
    <t>MOTELS, INNS AND SIMILAR ACCOMMODATION SERVICES (ABROAD)</t>
  </si>
  <si>
    <t>11.2.2.1.1</t>
  </si>
  <si>
    <t>HOSTELS (ROI)</t>
  </si>
  <si>
    <t>11.2.2.1.2</t>
  </si>
  <si>
    <t>HOSTELS (ABROAD)</t>
  </si>
  <si>
    <t>11.2.2.2.1</t>
  </si>
  <si>
    <t>HOLIDAY CENTRES, CAMPING SITES AND SIMILAR ACCOMMODATION SERVICES (ROI)</t>
  </si>
  <si>
    <t>11.2.2.2.2</t>
  </si>
  <si>
    <t>HOLIDAY CENTRES, CAMPING SITES AND SIMILAR ACCOMMODATION SERVICES (ABROAD)</t>
  </si>
  <si>
    <t>11.2.3.1</t>
  </si>
  <si>
    <t>11.2.3.2</t>
  </si>
  <si>
    <t>ACCOMMODATION ON PUBLIC TRANSPORT (WHEN PRICED SEPERATELY)</t>
  </si>
  <si>
    <t>12.1.1.1.1</t>
  </si>
  <si>
    <t>Gents - Dry Haircut</t>
  </si>
  <si>
    <t>12.1.1.1.2</t>
  </si>
  <si>
    <t>Gents - Wash, Cut &amp; Dry</t>
  </si>
  <si>
    <t>12.1.1.1.3</t>
  </si>
  <si>
    <t>Gents - Other hairdressing</t>
  </si>
  <si>
    <t>12.1.1.1.4</t>
  </si>
  <si>
    <t>Childrens - Haircut</t>
  </si>
  <si>
    <t>12.1.1.2.1</t>
  </si>
  <si>
    <t>Ladies - shampoo &amp; Set</t>
  </si>
  <si>
    <t>12.1.1.2.2</t>
  </si>
  <si>
    <t>Ladies - wash, cut &amp; blowdry</t>
  </si>
  <si>
    <t>12.1.1.2.3</t>
  </si>
  <si>
    <t>Ladies - perm/bodywave</t>
  </si>
  <si>
    <t>12.1.1.2.4</t>
  </si>
  <si>
    <t>Ladies - hair colour &amp; highlights</t>
  </si>
  <si>
    <t>12.1.1.2.5</t>
  </si>
  <si>
    <t>Other hairdressing - ladies</t>
  </si>
  <si>
    <t>12.1.1.3.1</t>
  </si>
  <si>
    <t>Nail treatments</t>
  </si>
  <si>
    <t>12.1.1.3.2</t>
  </si>
  <si>
    <t>Beauty treatments</t>
  </si>
  <si>
    <t>12.1.1.3.3</t>
  </si>
  <si>
    <t>Other grooming treatments</t>
  </si>
  <si>
    <t>12.1.1.3.4</t>
  </si>
  <si>
    <t>Ear piercing</t>
  </si>
  <si>
    <t>12.1.1.3.5</t>
  </si>
  <si>
    <t>Body piercing</t>
  </si>
  <si>
    <t>12.1.1.3.6</t>
  </si>
  <si>
    <t>Diet clubs</t>
  </si>
  <si>
    <t>12.1.2.1.1</t>
  </si>
  <si>
    <t>Electric razor</t>
  </si>
  <si>
    <t>12.1.2.1.2</t>
  </si>
  <si>
    <t>Hair dryer/styler</t>
  </si>
  <si>
    <t>12.1.2.1.3</t>
  </si>
  <si>
    <t>Other electrical appliances for personal care</t>
  </si>
  <si>
    <t>12.1.2.2</t>
  </si>
  <si>
    <t>Repair of electric appliances for personal care</t>
  </si>
  <si>
    <t>12.1.3.1.1</t>
  </si>
  <si>
    <t>Razors inc blades/cartridges</t>
  </si>
  <si>
    <t>12.1.3.1.2</t>
  </si>
  <si>
    <t>Toothbrush</t>
  </si>
  <si>
    <t>12.1.3.1.3</t>
  </si>
  <si>
    <t>12.1.3.2.1.1</t>
  </si>
  <si>
    <t>TOILET PAPER</t>
  </si>
  <si>
    <t>12.1.3.2.1.2</t>
  </si>
  <si>
    <t>LIQUID SOAP</t>
  </si>
  <si>
    <t>12.1.3.2.1.3</t>
  </si>
  <si>
    <t>SHOWER GEL</t>
  </si>
  <si>
    <t>12.1.3.2.1.4</t>
  </si>
  <si>
    <t>TOOTHPASTE</t>
  </si>
  <si>
    <t>12.1.3.2.1.5</t>
  </si>
  <si>
    <t>DENTAL FLOSS</t>
  </si>
  <si>
    <t>12.1.3.2.1.6</t>
  </si>
  <si>
    <t>MOUTH WASH</t>
  </si>
  <si>
    <t>12.1.3.2.1.7</t>
  </si>
  <si>
    <t>OTHER HYGIENE PRODUCTS</t>
  </si>
  <si>
    <t>12.1.3.2.2.1</t>
  </si>
  <si>
    <t>Shampoo/conditioner</t>
  </si>
  <si>
    <t>12.1.3.2.2.2</t>
  </si>
  <si>
    <t>Hair gel</t>
  </si>
  <si>
    <t>12.1.3.2.2.3</t>
  </si>
  <si>
    <t>Hair colour</t>
  </si>
  <si>
    <t>12.1.3.2.2.4</t>
  </si>
  <si>
    <t>Hairspray</t>
  </si>
  <si>
    <t>12.1.3.2.2.5</t>
  </si>
  <si>
    <t>Other hair products</t>
  </si>
  <si>
    <t>Shaving foam</t>
  </si>
  <si>
    <t>12.1.3.2.3.10</t>
  </si>
  <si>
    <t>Foundation - make-up</t>
  </si>
  <si>
    <t>12.1.3.2.3.11</t>
  </si>
  <si>
    <t>Mascara</t>
  </si>
  <si>
    <t>12.1.3.2.3.12</t>
  </si>
  <si>
    <t>Other cosmetic products</t>
  </si>
  <si>
    <t>12.1.3.2.3.13</t>
  </si>
  <si>
    <t>Other skincare products</t>
  </si>
  <si>
    <t>Deodorant</t>
  </si>
  <si>
    <t>Sunscreen/sunblock</t>
  </si>
  <si>
    <t>Cleaning cream/wipes</t>
  </si>
  <si>
    <t>Moisturiser</t>
  </si>
  <si>
    <t>Hand cream</t>
  </si>
  <si>
    <t>Perfume</t>
  </si>
  <si>
    <t>Aftershave</t>
  </si>
  <si>
    <t>Lipstick</t>
  </si>
  <si>
    <t>Tampons</t>
  </si>
  <si>
    <t>12.1.3.4.10</t>
  </si>
  <si>
    <t>Other baby toiletries and accessories</t>
  </si>
  <si>
    <t>Sanitary towels/pads</t>
  </si>
  <si>
    <t>Tissues</t>
  </si>
  <si>
    <t>Cotton wool</t>
  </si>
  <si>
    <t>Other disposable toiletries</t>
  </si>
  <si>
    <t>Other durable toiletries</t>
  </si>
  <si>
    <t>Disposable nappies</t>
  </si>
  <si>
    <t>Baby wipes</t>
  </si>
  <si>
    <t>Baby powder</t>
  </si>
  <si>
    <t>12.2.0.0</t>
  </si>
  <si>
    <t>Prostitution</t>
  </si>
  <si>
    <t>12.3.1.1</t>
  </si>
  <si>
    <t>Jewellery</t>
  </si>
  <si>
    <t>12.3.1.2.1</t>
  </si>
  <si>
    <t>Wrist watch</t>
  </si>
  <si>
    <t>12.3.1.2.2</t>
  </si>
  <si>
    <t>Clock</t>
  </si>
  <si>
    <t>12.3.1.3</t>
  </si>
  <si>
    <t>Repairs of jewellery, clocks and watches</t>
  </si>
  <si>
    <t>12.3.2.1.1</t>
  </si>
  <si>
    <t>Suitcase</t>
  </si>
  <si>
    <t>12.3.2.1.2</t>
  </si>
  <si>
    <t>Ladies handbag</t>
  </si>
  <si>
    <t>12.3.2.1.3</t>
  </si>
  <si>
    <t>Wallet</t>
  </si>
  <si>
    <t>12.3.2.1.4</t>
  </si>
  <si>
    <t>Other travel goods</t>
  </si>
  <si>
    <t>12.3.2.2.1</t>
  </si>
  <si>
    <t>Baby's carriage</t>
  </si>
  <si>
    <t>12.3.2.2.2</t>
  </si>
  <si>
    <t>Baby/child's seat</t>
  </si>
  <si>
    <t>12.3.2.2.3</t>
  </si>
  <si>
    <t>Other articles for baby</t>
  </si>
  <si>
    <t>12.3.2.3</t>
  </si>
  <si>
    <t>Repair of other personal effects</t>
  </si>
  <si>
    <t>12.3.2.9.1</t>
  </si>
  <si>
    <t>Cigarette lighter</t>
  </si>
  <si>
    <t>12.3.2.9.2</t>
  </si>
  <si>
    <t>Other articles for smokers</t>
  </si>
  <si>
    <t>12.3.2.9.3</t>
  </si>
  <si>
    <t>Umbrella</t>
  </si>
  <si>
    <t>12.3.2.9.4</t>
  </si>
  <si>
    <t>Sunglasses</t>
  </si>
  <si>
    <t>12.3.2.9.5</t>
  </si>
  <si>
    <t>Personal goods not otherwise specified</t>
  </si>
  <si>
    <t>12.3.2.9.6</t>
  </si>
  <si>
    <t>Funerary articles</t>
  </si>
  <si>
    <t>12.3.2.9.7</t>
  </si>
  <si>
    <t>Repair of personal effects nec</t>
  </si>
  <si>
    <t>12.4.0.1</t>
  </si>
  <si>
    <t>Childcare</t>
  </si>
  <si>
    <t>12.4.0.2</t>
  </si>
  <si>
    <t>Residential home fees for elderly, sick, blind</t>
  </si>
  <si>
    <t>12.4.0.3</t>
  </si>
  <si>
    <t>Services to maintain people in their private homes</t>
  </si>
  <si>
    <t>12.4.0.4</t>
  </si>
  <si>
    <t>Couselling</t>
  </si>
  <si>
    <t>12.5.1.0</t>
  </si>
  <si>
    <t>Life Insurance</t>
  </si>
  <si>
    <t>12.5.2.0.1</t>
  </si>
  <si>
    <t>Contents insurance (primary dwelling personal possession insurance)</t>
  </si>
  <si>
    <t>12.5.2.0.2</t>
  </si>
  <si>
    <t>Structural insurance (primary dwelling)</t>
  </si>
  <si>
    <t>12.5.2.0.3</t>
  </si>
  <si>
    <t>Joint insurance (primary dwelling)</t>
  </si>
  <si>
    <t>12.5.3.1</t>
  </si>
  <si>
    <t>Public insurance connected with health</t>
  </si>
  <si>
    <t>12.5.3.2.1</t>
  </si>
  <si>
    <t>Private medical insurance</t>
  </si>
  <si>
    <t>12.5.3.2.2</t>
  </si>
  <si>
    <t>Accident insurance, sickness insurance, sports &amp; animal insurance</t>
  </si>
  <si>
    <t>12.5.4.1.1</t>
  </si>
  <si>
    <t>Motor cycle insurance</t>
  </si>
  <si>
    <t>12.5.4.1.2</t>
  </si>
  <si>
    <t>Car insurance</t>
  </si>
  <si>
    <t>12.5.4.2</t>
  </si>
  <si>
    <t>Travel insurance</t>
  </si>
  <si>
    <t>Other insurance</t>
  </si>
  <si>
    <t>12.6.2.1.1</t>
  </si>
  <si>
    <t>Bank service charges</t>
  </si>
  <si>
    <t>12.6.2.1.2</t>
  </si>
  <si>
    <t>Bank &amp; Post Office counter charges</t>
  </si>
  <si>
    <t>12.6.2.1.3</t>
  </si>
  <si>
    <t>Credit card annual standing charge payment</t>
  </si>
  <si>
    <t>12.6.2.1.4</t>
  </si>
  <si>
    <t>Commission on travellers cheques and currency</t>
  </si>
  <si>
    <t>12.6.2.2</t>
  </si>
  <si>
    <t>Fees and service charges of brokers/investment consultants</t>
  </si>
  <si>
    <t>12.7.0.1.1</t>
  </si>
  <si>
    <t>Passport fees</t>
  </si>
  <si>
    <t>12.7.0.1.2</t>
  </si>
  <si>
    <t>Birth/death/marriage certificate fees</t>
  </si>
  <si>
    <t>12.7.0.1.3</t>
  </si>
  <si>
    <t>Other licences</t>
  </si>
  <si>
    <t>12.7.0.2.1</t>
  </si>
  <si>
    <t>Legal fees paid to banks</t>
  </si>
  <si>
    <t>12.7.0.2.2</t>
  </si>
  <si>
    <t>Legal fees paid to solicitors</t>
  </si>
  <si>
    <t>12.7.0.2.3</t>
  </si>
  <si>
    <t>Accountancy fees</t>
  </si>
  <si>
    <t>12.7.0.3</t>
  </si>
  <si>
    <t>Funeral expenses</t>
  </si>
  <si>
    <t>12.7.0.4.1</t>
  </si>
  <si>
    <t>Engineers/Surveyors fees</t>
  </si>
  <si>
    <t>12.7.0.4.2</t>
  </si>
  <si>
    <t>Auctioneers fees</t>
  </si>
  <si>
    <t>12.7.0.4.3</t>
  </si>
  <si>
    <t>Newspaper advertisements</t>
  </si>
  <si>
    <t>12.7.0.4.4</t>
  </si>
  <si>
    <t>Other services</t>
  </si>
  <si>
    <t>20.1.1.1.1</t>
  </si>
  <si>
    <t>Mortgage instalment payment (main dwelling)</t>
  </si>
  <si>
    <t>20.1.1.1.2</t>
  </si>
  <si>
    <t>Mortgage endowment payment (main dwelling)</t>
  </si>
  <si>
    <t>20.1.1.1.3</t>
  </si>
  <si>
    <t>Mortgage protection policy (main dwelling)</t>
  </si>
  <si>
    <t>20.1.2.1.1</t>
  </si>
  <si>
    <t>20.1.3.1.1</t>
  </si>
  <si>
    <t>Central heating installation (contractor)</t>
  </si>
  <si>
    <t>20.1.3.1.2</t>
  </si>
  <si>
    <t>Capital improvements (contractor)</t>
  </si>
  <si>
    <t>20.1.3.1.3</t>
  </si>
  <si>
    <t>Central heating installation (DIY)</t>
  </si>
  <si>
    <t>20.1.3.1.4</t>
  </si>
  <si>
    <t>Double glazing, kitchen units, sheds etc</t>
  </si>
  <si>
    <t>20.1.3.1.5</t>
  </si>
  <si>
    <t>Purchase of materials for capital improvements eg bricks, slates, etc</t>
  </si>
  <si>
    <t>20.1.3.1.6</t>
  </si>
  <si>
    <t>Bathroom fittings eg bath, taps, toilet seat</t>
  </si>
  <si>
    <t>20.1.4.1.1</t>
  </si>
  <si>
    <t>Purchase of second dwelling</t>
  </si>
  <si>
    <t>20.1.4.1.2</t>
  </si>
  <si>
    <t>20.2.1.1.1</t>
  </si>
  <si>
    <t>Food stamps, tea &amp; coffee kitty, Christmas meal fund</t>
  </si>
  <si>
    <t>20.3.1.1.1</t>
  </si>
  <si>
    <t>Stamp duty, licences, fines (excl motoring fines)</t>
  </si>
  <si>
    <t>20.3.1.1.2</t>
  </si>
  <si>
    <t>Motoring fines eg speeding fine, parking fine</t>
  </si>
  <si>
    <t>20.3.1.1.3</t>
  </si>
  <si>
    <t>Vehicle tax eg road tax, car tax, car tax stamp</t>
  </si>
  <si>
    <t>20.3.1.1.4</t>
  </si>
  <si>
    <t>Local Property Tax</t>
  </si>
  <si>
    <t>20.3.1.1.5</t>
  </si>
  <si>
    <t>Water charges</t>
  </si>
  <si>
    <t>20.4.1.1.1</t>
  </si>
  <si>
    <t>Money spent abroad</t>
  </si>
  <si>
    <t>20.4.1.1.2</t>
  </si>
  <si>
    <t>Duty free bought in ROI</t>
  </si>
  <si>
    <t>20.5.1.1.1</t>
  </si>
  <si>
    <t>Savings, investments (excl AVCs)</t>
  </si>
  <si>
    <t>20.5.1.1.2</t>
  </si>
  <si>
    <t>Private personal pension</t>
  </si>
  <si>
    <t>20.5.1.1.3</t>
  </si>
  <si>
    <t>Additional Voluntary Contributions</t>
  </si>
  <si>
    <t>20.5.1.1.4</t>
  </si>
  <si>
    <t>Money set aside for bills</t>
  </si>
  <si>
    <t>20.5.1.1.5</t>
  </si>
  <si>
    <t>Superannuation deduct subsidiary employee job</t>
  </si>
  <si>
    <t>20.5.1.1.6</t>
  </si>
  <si>
    <t>Widows/Dependents/Orphans Fund</t>
  </si>
  <si>
    <t>20.5.2.1.1</t>
  </si>
  <si>
    <t>Money to other spenders ie adults inside the household</t>
  </si>
  <si>
    <t>20.5.2.1.2</t>
  </si>
  <si>
    <t>Money to children for a specific purpose - pocket money</t>
  </si>
  <si>
    <t>20.5.2.1.3</t>
  </si>
  <si>
    <t>Money to children for a specific purpose - school dinner and other school food (eg snack at school, juice money, school milk)</t>
  </si>
  <si>
    <t>20.5.2.1.4</t>
  </si>
  <si>
    <t>Money to children for a specific purpose - school travel eg bus fare, train fare</t>
  </si>
  <si>
    <t>20.5.2.1.5</t>
  </si>
  <si>
    <t>Money to children for a specific purpose - other eg for school club, bus fare (not to school)</t>
  </si>
  <si>
    <t>20.5.2.1.6</t>
  </si>
  <si>
    <t>Cash gifts to children (ie no specific purpose)</t>
  </si>
  <si>
    <t>20.5.2.2.1</t>
  </si>
  <si>
    <t>Money given to those outside the household</t>
  </si>
  <si>
    <t>20.5.2.2.2</t>
  </si>
  <si>
    <t>Present - not specified</t>
  </si>
  <si>
    <t>20.5.2.2.3</t>
  </si>
  <si>
    <t>Charitable donations &amp; subscriptions</t>
  </si>
  <si>
    <t>20.5.2.2.4</t>
  </si>
  <si>
    <t>Money sent abroad</t>
  </si>
  <si>
    <t>20.5.2.2.5</t>
  </si>
  <si>
    <t>Maintenance or separation allowance</t>
  </si>
  <si>
    <t>20.5.3.1.1</t>
  </si>
  <si>
    <t>Credit, charge, store card account payment</t>
  </si>
  <si>
    <t>20.5.3.1.2</t>
  </si>
  <si>
    <t>Credit, charge, store card interest payment</t>
  </si>
  <si>
    <t>20.5.3.1.3</t>
  </si>
  <si>
    <t>Loan instalment payment</t>
  </si>
  <si>
    <t>20.5.3.1.4</t>
  </si>
  <si>
    <t>Hire purchase instalment payment</t>
  </si>
  <si>
    <t>20.5.3.1.5</t>
  </si>
  <si>
    <t>Club instalment payment</t>
  </si>
  <si>
    <t>20.5.3.1.6</t>
  </si>
  <si>
    <t>Pay off loan to clear other debt</t>
  </si>
  <si>
    <t>20.5.4.1.1</t>
  </si>
  <si>
    <t>Income tax payment</t>
  </si>
  <si>
    <t>20.5.5.1.1</t>
  </si>
  <si>
    <t>Household items and bills, overdrafts</t>
  </si>
  <si>
    <t>Building materieals</t>
  </si>
  <si>
    <t>Other materials for maintenance and repair of dwelling nec</t>
  </si>
  <si>
    <t>Spare parts for motor cycles(ex tyres)</t>
  </si>
  <si>
    <t>Food and non-alcoholic beverages</t>
  </si>
  <si>
    <t>Food</t>
  </si>
  <si>
    <t>01.1.1</t>
  </si>
  <si>
    <t>Bread and cereals</t>
  </si>
  <si>
    <t>01.1.2</t>
  </si>
  <si>
    <t>Meat</t>
  </si>
  <si>
    <t>01.1.3</t>
  </si>
  <si>
    <t>01.1.4</t>
  </si>
  <si>
    <t>Milk, cheese and eggs</t>
  </si>
  <si>
    <t>01.1.5</t>
  </si>
  <si>
    <t>Oils and Fats</t>
  </si>
  <si>
    <t>01.1.6</t>
  </si>
  <si>
    <t>Fruit</t>
  </si>
  <si>
    <t>01.1.7</t>
  </si>
  <si>
    <t>Vegetables</t>
  </si>
  <si>
    <t>Sugar, jam, honey, chocolate and confectionery</t>
  </si>
  <si>
    <t>01.1.8</t>
  </si>
  <si>
    <t>01.1.9</t>
  </si>
  <si>
    <t>Food products n.e.c</t>
  </si>
  <si>
    <t>Non-alcoholic beverages</t>
  </si>
  <si>
    <t>01.2.1</t>
  </si>
  <si>
    <t>Coffee, tea and cocoa</t>
  </si>
  <si>
    <t>Mineral waters, soft drinks, fruit and vegetable juices</t>
  </si>
  <si>
    <t>01.2.2</t>
  </si>
  <si>
    <t>Alcoholic beverages, tobacco</t>
  </si>
  <si>
    <t>02.1.1</t>
  </si>
  <si>
    <t>Spirits (take home)</t>
  </si>
  <si>
    <t>Alcoholic beverages (take home)</t>
  </si>
  <si>
    <t>02.1.2</t>
  </si>
  <si>
    <t>Wine</t>
  </si>
  <si>
    <t>02.1.3</t>
  </si>
  <si>
    <t>Beer</t>
  </si>
  <si>
    <t>Tobacco</t>
  </si>
  <si>
    <t>Clothing and footwear</t>
  </si>
  <si>
    <t>Clothing</t>
  </si>
  <si>
    <t>03.1.1</t>
  </si>
  <si>
    <t>Garments</t>
  </si>
  <si>
    <t>Mens Casual overjacket/rain jacket</t>
  </si>
  <si>
    <t>03.1.2</t>
  </si>
  <si>
    <t>03.1.3</t>
  </si>
  <si>
    <t>Other articles of clothing and clothing accessories</t>
  </si>
  <si>
    <t>Cleaning, repair and hire of clothing</t>
  </si>
  <si>
    <t>03.1.4</t>
  </si>
  <si>
    <t>Footwear</t>
  </si>
  <si>
    <t>03.2.1</t>
  </si>
  <si>
    <t>Shoes and other footwear</t>
  </si>
  <si>
    <t>03.2.2</t>
  </si>
  <si>
    <t>Repair and hire of footwear</t>
  </si>
  <si>
    <t>Actual rentals for housing</t>
  </si>
  <si>
    <t>Housing, water, electricity, gas and other fuels</t>
  </si>
  <si>
    <t>Maintenance and repair of the dwelling</t>
  </si>
  <si>
    <t>04.3.1</t>
  </si>
  <si>
    <t>Materials for the maintenance and repair of the dwelling</t>
  </si>
  <si>
    <t>Services for the maintenance and repair of the dwelling</t>
  </si>
  <si>
    <t>04.3.2</t>
  </si>
  <si>
    <t>04.4.1</t>
  </si>
  <si>
    <t>Water supply and miscellaneous services relating to the dwelling</t>
  </si>
  <si>
    <t>Water supply</t>
  </si>
  <si>
    <t>04.4.2</t>
  </si>
  <si>
    <t>Refuse collection</t>
  </si>
  <si>
    <t>Sewerage collection and disposal</t>
  </si>
  <si>
    <t>Sewerage collection</t>
  </si>
  <si>
    <t>04.4.3</t>
  </si>
  <si>
    <t>Other services relating to the dwelling n.e.c.</t>
  </si>
  <si>
    <t>04.4.4</t>
  </si>
  <si>
    <t>Electricity, gas and other fuels</t>
  </si>
  <si>
    <t>04.5.2</t>
  </si>
  <si>
    <t>Gas</t>
  </si>
  <si>
    <t>04.5.3</t>
  </si>
  <si>
    <t>Liquid Fuels</t>
  </si>
  <si>
    <t>04.5.4</t>
  </si>
  <si>
    <t>Solid Fuels</t>
  </si>
  <si>
    <t>Furnishings, household equipment and routine maintenance of the house</t>
  </si>
  <si>
    <t>Furniture and furnishings, carpets and other floor coverings</t>
  </si>
  <si>
    <t>05.1.1</t>
  </si>
  <si>
    <t>Furniture and furnishings</t>
  </si>
  <si>
    <t>Carpets and other floor coverings</t>
  </si>
  <si>
    <t>05.1.2</t>
  </si>
  <si>
    <t>05.1.3</t>
  </si>
  <si>
    <t>Household textiles</t>
  </si>
  <si>
    <t>Household appliances</t>
  </si>
  <si>
    <t>Glassware, tableware and household utensils</t>
  </si>
  <si>
    <t>05.4.0</t>
  </si>
  <si>
    <t>Tools and equipment for house and garden</t>
  </si>
  <si>
    <t>05.5.1</t>
  </si>
  <si>
    <t>Major tools and equipment for house and garden</t>
  </si>
  <si>
    <t>05.5.2</t>
  </si>
  <si>
    <t>Small tools and miscellaneous accessories</t>
  </si>
  <si>
    <t>05.6.1</t>
  </si>
  <si>
    <t>Goods and services for routine household maintenance</t>
  </si>
  <si>
    <t>Non-durable household goods</t>
  </si>
  <si>
    <t>05.6.2</t>
  </si>
  <si>
    <t>Domestic services and household services</t>
  </si>
  <si>
    <t>Medical products, appliances and equipment</t>
  </si>
  <si>
    <t>Health</t>
  </si>
  <si>
    <t>Pharmaceutical products</t>
  </si>
  <si>
    <t>06.1.2</t>
  </si>
  <si>
    <t>06.1.2.1</t>
  </si>
  <si>
    <t>06.1.2.2</t>
  </si>
  <si>
    <t>06.2.1</t>
  </si>
  <si>
    <t>Medical services</t>
  </si>
  <si>
    <t>Outpatient services</t>
  </si>
  <si>
    <t>06.2.2</t>
  </si>
  <si>
    <t>Dental services</t>
  </si>
  <si>
    <t>06.2.3</t>
  </si>
  <si>
    <t>Paramedical services</t>
  </si>
  <si>
    <t>06.3.0</t>
  </si>
  <si>
    <t>Transport</t>
  </si>
  <si>
    <t>Purchase of vehicles</t>
  </si>
  <si>
    <t>07.1.2</t>
  </si>
  <si>
    <t>07.1.2.1</t>
  </si>
  <si>
    <t>07.1.3</t>
  </si>
  <si>
    <t>07.1.3.1</t>
  </si>
  <si>
    <t>07.1.4</t>
  </si>
  <si>
    <t>07.1.4.1</t>
  </si>
  <si>
    <t>07.2.1</t>
  </si>
  <si>
    <t>07.2.1.1</t>
  </si>
  <si>
    <t>07.2.1.2</t>
  </si>
  <si>
    <t>07.2.1.3</t>
  </si>
  <si>
    <t>07.2.2</t>
  </si>
  <si>
    <t>07.2.2.1</t>
  </si>
  <si>
    <t>Operation of personal transport equipment</t>
  </si>
  <si>
    <t>Spare parts and accessories for personal transport equipment</t>
  </si>
  <si>
    <t>Fuels and lubricants for personal transport equipment</t>
  </si>
  <si>
    <t>Maintenance and repair of personal transport equipment</t>
  </si>
  <si>
    <t>07.2.3</t>
  </si>
  <si>
    <t>07.2.3.1</t>
  </si>
  <si>
    <t>07.2.3.2</t>
  </si>
  <si>
    <t>07.2.4.1</t>
  </si>
  <si>
    <t>07.2.4.2</t>
  </si>
  <si>
    <t>07.3.1</t>
  </si>
  <si>
    <t>07.3.1.1</t>
  </si>
  <si>
    <t>Other services in respect of personal transport equipment</t>
  </si>
  <si>
    <t>07.2.4</t>
  </si>
  <si>
    <t>Transport services</t>
  </si>
  <si>
    <t>Passenger transport by railway</t>
  </si>
  <si>
    <t>07.3.2</t>
  </si>
  <si>
    <t>07.3.2.1</t>
  </si>
  <si>
    <t>07.3.3</t>
  </si>
  <si>
    <t>07.3.4</t>
  </si>
  <si>
    <t>07.3.5</t>
  </si>
  <si>
    <t>Passenger transport by road</t>
  </si>
  <si>
    <t>Passenger transport by air</t>
  </si>
  <si>
    <t>Passenger transport by sea and inland waterway</t>
  </si>
  <si>
    <t>Combined passenger transport</t>
  </si>
  <si>
    <t>07.3.6</t>
  </si>
  <si>
    <t>07.3.6.2</t>
  </si>
  <si>
    <t>07.3.6.9</t>
  </si>
  <si>
    <t>08.3.0.1</t>
  </si>
  <si>
    <t>Communication</t>
  </si>
  <si>
    <t>Postal services</t>
  </si>
  <si>
    <t>09.1.1</t>
  </si>
  <si>
    <t>09.1.1.1</t>
  </si>
  <si>
    <t>Recreation and culture</t>
  </si>
  <si>
    <t>Audio-visual, photographic and information processing equipment</t>
  </si>
  <si>
    <t>09.1.1.1.4</t>
  </si>
  <si>
    <t>09.1.1.2</t>
  </si>
  <si>
    <t>09.1.1.3</t>
  </si>
  <si>
    <t>09.1.1.9</t>
  </si>
  <si>
    <t>09.1.2</t>
  </si>
  <si>
    <t>09.1.2.1</t>
  </si>
  <si>
    <t>Photographic and cinematographic equipment and optical instruments</t>
  </si>
  <si>
    <t>09.1.3</t>
  </si>
  <si>
    <t>09.1.3.1</t>
  </si>
  <si>
    <t>Information processing equipment</t>
  </si>
  <si>
    <t>09.1.4</t>
  </si>
  <si>
    <t>09.1.4.1</t>
  </si>
  <si>
    <t>09.1.4.2</t>
  </si>
  <si>
    <t>09.1.4.9</t>
  </si>
  <si>
    <t>09.1.5</t>
  </si>
  <si>
    <t>Recording media</t>
  </si>
  <si>
    <t>Repair of audio-visual, photographic and information processing equipment</t>
  </si>
  <si>
    <t>09.2.1</t>
  </si>
  <si>
    <t>Other major durables for recreation and culture</t>
  </si>
  <si>
    <t>01.1.1.1</t>
  </si>
  <si>
    <t>Rice</t>
  </si>
  <si>
    <t>01.1.1.2</t>
  </si>
  <si>
    <t>Flours and other cereals</t>
  </si>
  <si>
    <t>01.1.1.2.1</t>
  </si>
  <si>
    <t>01.1.1.2.2</t>
  </si>
  <si>
    <t>01.1.1.2.3</t>
  </si>
  <si>
    <t>01.1.1.2.4</t>
  </si>
  <si>
    <t>01.1.1.2.5</t>
  </si>
  <si>
    <t>01.1.1.3</t>
  </si>
  <si>
    <t>Bread</t>
  </si>
  <si>
    <t>01.1.1.3.3</t>
  </si>
  <si>
    <t>Brown pan</t>
  </si>
  <si>
    <t>White pan</t>
  </si>
  <si>
    <t>01.1.1.4</t>
  </si>
  <si>
    <t xml:space="preserve">Other bakery products </t>
  </si>
  <si>
    <t>01.1.1.5</t>
  </si>
  <si>
    <t>Pizza and quiche</t>
  </si>
  <si>
    <t>01.1.1.6</t>
  </si>
  <si>
    <t>Pasta products and couscous</t>
  </si>
  <si>
    <t>01.1.1.7</t>
  </si>
  <si>
    <t>Breakfast cereals</t>
  </si>
  <si>
    <t>01.1.1.8</t>
  </si>
  <si>
    <t>Other cereal products nec</t>
  </si>
  <si>
    <t>01.1.2.1</t>
  </si>
  <si>
    <t>Beef and veal</t>
  </si>
  <si>
    <t>01.1.2.2</t>
  </si>
  <si>
    <t>Pork</t>
  </si>
  <si>
    <t>01.1.2.3</t>
  </si>
  <si>
    <t>Lamb and goat</t>
  </si>
  <si>
    <t>01.1.2.3.2</t>
  </si>
  <si>
    <t>01.1.2.3.3</t>
  </si>
  <si>
    <t>01.1.2.4</t>
  </si>
  <si>
    <t>01.1.2.4.1</t>
  </si>
  <si>
    <t>Poultry</t>
  </si>
  <si>
    <t>Chicken - whole or parts eg mince, breast, steak, diced</t>
  </si>
  <si>
    <t>01.1.2.5</t>
  </si>
  <si>
    <t>Other meats</t>
  </si>
  <si>
    <t>01.1.2.6</t>
  </si>
  <si>
    <t>Edible offal</t>
  </si>
  <si>
    <t>01.1.2.7</t>
  </si>
  <si>
    <t>Dried, salted or smoked meat</t>
  </si>
  <si>
    <t>01.1.2.8</t>
  </si>
  <si>
    <t>Other meat preparations</t>
  </si>
  <si>
    <t>01.1.3.1</t>
  </si>
  <si>
    <t>Fish and seafood</t>
  </si>
  <si>
    <t>Fresh or chilled fish</t>
  </si>
  <si>
    <t>01.1.3.2</t>
  </si>
  <si>
    <t>Frozen fish</t>
  </si>
  <si>
    <t>01.1.3.3</t>
  </si>
  <si>
    <t>Fresh or chilled seafood</t>
  </si>
  <si>
    <t>01.1.3.4</t>
  </si>
  <si>
    <t>Frozen seafood</t>
  </si>
  <si>
    <t>01.1.3.5</t>
  </si>
  <si>
    <t>Dried, smoked or salted fish and seafood</t>
  </si>
  <si>
    <t>01.1.3.6</t>
  </si>
  <si>
    <t>Other preserved or processed fish and seafood-based preparations</t>
  </si>
  <si>
    <t>01.1.4.1</t>
  </si>
  <si>
    <t>01.1.4.2</t>
  </si>
  <si>
    <t>Milk, low fat, fresh</t>
  </si>
  <si>
    <t>Milk, whole, fresh</t>
  </si>
  <si>
    <t>01.1.4.3</t>
  </si>
  <si>
    <t>Milk, preserved</t>
  </si>
  <si>
    <t>01.1.4.4</t>
  </si>
  <si>
    <t>01.1.4.5</t>
  </si>
  <si>
    <t>Cheese and curd</t>
  </si>
  <si>
    <t>01.1.4.5.2</t>
  </si>
  <si>
    <t>Hard cheeses</t>
  </si>
  <si>
    <t>01.1.4.6</t>
  </si>
  <si>
    <t>Other milk products</t>
  </si>
  <si>
    <t>01.1.4.8</t>
  </si>
  <si>
    <t>01.1.5.1</t>
  </si>
  <si>
    <t>01.1.5.2</t>
  </si>
  <si>
    <t>Margarine and other vegetable fats</t>
  </si>
  <si>
    <t>01.1.5.2.3</t>
  </si>
  <si>
    <t>01.1.5.5</t>
  </si>
  <si>
    <t>Other edible animal fats</t>
  </si>
  <si>
    <t>01.1.6.1</t>
  </si>
  <si>
    <t>01.1.6.1.1</t>
  </si>
  <si>
    <t>Citrus fruit</t>
  </si>
  <si>
    <t>Fresh or chilled fruit</t>
  </si>
  <si>
    <t>01.1.6.3</t>
  </si>
  <si>
    <t>Dried fruit and nuts</t>
  </si>
  <si>
    <t>01.1.6.4</t>
  </si>
  <si>
    <t>Preserved fruit and fruit-based products</t>
  </si>
  <si>
    <t>01.1.7.1</t>
  </si>
  <si>
    <t>Fresh or chilled vegetables other than potatoes and other tubers</t>
  </si>
  <si>
    <t>01.1.7.1.1</t>
  </si>
  <si>
    <t>01.1.7.1.2</t>
  </si>
  <si>
    <t>01.1.7.1.3</t>
  </si>
  <si>
    <t>01.1.7.1.4</t>
  </si>
  <si>
    <t>01.1.7.2</t>
  </si>
  <si>
    <t>Frozen vegetables other than potatoes and other tubers</t>
  </si>
  <si>
    <t>01.1.7.3</t>
  </si>
  <si>
    <t>01.1.7.3.1</t>
  </si>
  <si>
    <t>Dried vegetables, other preserved or processed vegetables</t>
  </si>
  <si>
    <t>01.1.7.3.2</t>
  </si>
  <si>
    <t>01.1.7.4</t>
  </si>
  <si>
    <t>Potatoes</t>
  </si>
  <si>
    <t>01.1.7.5</t>
  </si>
  <si>
    <t>Crisps</t>
  </si>
  <si>
    <t>01.1.8.1</t>
  </si>
  <si>
    <t>Sugar</t>
  </si>
  <si>
    <t>01.1.8.2</t>
  </si>
  <si>
    <t>Jams, marmalades and honey</t>
  </si>
  <si>
    <t>01.1.8.3</t>
  </si>
  <si>
    <t>Chocolate</t>
  </si>
  <si>
    <t>01.1.8.4</t>
  </si>
  <si>
    <t>Confectionery products</t>
  </si>
  <si>
    <t>01.1.8.5</t>
  </si>
  <si>
    <t>Edible ices and ice crea</t>
  </si>
  <si>
    <t>01.1.8.6</t>
  </si>
  <si>
    <t>01.1.9.1</t>
  </si>
  <si>
    <t>Sauces, condiments</t>
  </si>
  <si>
    <t>01.1.9.2</t>
  </si>
  <si>
    <t>Salt, spices and culinary herbs</t>
  </si>
  <si>
    <t>01.1.9.3</t>
  </si>
  <si>
    <t>Baby food</t>
  </si>
  <si>
    <t>01.1.9.4</t>
  </si>
  <si>
    <t>Ready-made meals</t>
  </si>
  <si>
    <t>01.1.9.5</t>
  </si>
  <si>
    <t>Other food products NEC</t>
  </si>
  <si>
    <t>01.2.1.1</t>
  </si>
  <si>
    <t>Coffee</t>
  </si>
  <si>
    <t>01.2.1.2</t>
  </si>
  <si>
    <t>Tea</t>
  </si>
  <si>
    <t>01.2.1.3</t>
  </si>
  <si>
    <t>Cocoa and powdered chocolate</t>
  </si>
  <si>
    <t>01.2.2.1</t>
  </si>
  <si>
    <t>Mineral or spring waters</t>
  </si>
  <si>
    <t>01.2.2.2</t>
  </si>
  <si>
    <t>Soft drinks</t>
  </si>
  <si>
    <t>01.2.2.3</t>
  </si>
  <si>
    <t>Fruit and vegetable juices</t>
  </si>
  <si>
    <t>02.1.1.1</t>
  </si>
  <si>
    <t>Spirits and liquers - take home</t>
  </si>
  <si>
    <t>02.1.2.1</t>
  </si>
  <si>
    <t>Wine from grapes</t>
  </si>
  <si>
    <t>02.1.2.2</t>
  </si>
  <si>
    <t>Wine from other fruit</t>
  </si>
  <si>
    <t>02.1.2.3</t>
  </si>
  <si>
    <t>Fortified wine</t>
  </si>
  <si>
    <t>02.1.3.2</t>
  </si>
  <si>
    <t>Other alcoholic beer</t>
  </si>
  <si>
    <t>02.2.1</t>
  </si>
  <si>
    <t>03.1.2.1</t>
  </si>
  <si>
    <t>Garments for men</t>
  </si>
  <si>
    <t>03.1.2.2</t>
  </si>
  <si>
    <t>Garments for women</t>
  </si>
  <si>
    <t>03.1.2.2.1</t>
  </si>
  <si>
    <t>03.1.2.3</t>
  </si>
  <si>
    <t>03.1.2.3.1</t>
  </si>
  <si>
    <t>Garments for Infants and children</t>
  </si>
  <si>
    <t>03.1.2.3.2</t>
  </si>
  <si>
    <t>03.1.2.3.3</t>
  </si>
  <si>
    <t>03.1.2.3.4</t>
  </si>
  <si>
    <t>03.1.2.3.5</t>
  </si>
  <si>
    <t>03.1.3.1</t>
  </si>
  <si>
    <t>03.1.3.1.1</t>
  </si>
  <si>
    <t>Other articles of clothing</t>
  </si>
  <si>
    <t>03.1.4.1</t>
  </si>
  <si>
    <t>Cleaning of clothing</t>
  </si>
  <si>
    <t>03.1.4.2</t>
  </si>
  <si>
    <t>Repair and hire of clothing</t>
  </si>
  <si>
    <t>03.2.1.1</t>
  </si>
  <si>
    <t>Footwear for men</t>
  </si>
  <si>
    <t>03.2.1.2</t>
  </si>
  <si>
    <t>Footwear for women</t>
  </si>
  <si>
    <t>03.2.1.3</t>
  </si>
  <si>
    <t>Footwear for infants and children</t>
  </si>
  <si>
    <t>03.2.2.0</t>
  </si>
  <si>
    <t>04.1.1</t>
  </si>
  <si>
    <t>Actual rentals paid by tenants</t>
  </si>
  <si>
    <t>04.1.2</t>
  </si>
  <si>
    <t>04.1.2.1</t>
  </si>
  <si>
    <t>Other actual rentals</t>
  </si>
  <si>
    <t>Actual rentals paid by tenants for secondary residences</t>
  </si>
  <si>
    <t>Imputed rentals</t>
  </si>
  <si>
    <t>04.3.1.1</t>
  </si>
  <si>
    <t>04.3.2.4</t>
  </si>
  <si>
    <t>Services of painters and decorators</t>
  </si>
  <si>
    <t>04.3.2.6</t>
  </si>
  <si>
    <t>Other services for maintenance and repair of the dwelling</t>
  </si>
  <si>
    <t>04.4.1.1</t>
  </si>
  <si>
    <t>04.4.2.1</t>
  </si>
  <si>
    <t>04.4.3.1</t>
  </si>
  <si>
    <t>04.4.4.1</t>
  </si>
  <si>
    <t>Maintenance charges in multi-occupied building</t>
  </si>
  <si>
    <t>04.5.2.1</t>
  </si>
  <si>
    <t>Natural Gas and Town gas</t>
  </si>
  <si>
    <t>04.5.3.1</t>
  </si>
  <si>
    <t>04.5.4.1</t>
  </si>
  <si>
    <t>05.1.1.1</t>
  </si>
  <si>
    <t>Household furniture</t>
  </si>
  <si>
    <t>05.1.1.3</t>
  </si>
  <si>
    <t>Lighting equipment</t>
  </si>
  <si>
    <t>05.1.1.9</t>
  </si>
  <si>
    <t>Other furniture and furnishings</t>
  </si>
  <si>
    <t>05.1.2.1</t>
  </si>
  <si>
    <t>Carpets and rugs</t>
  </si>
  <si>
    <t>05.1.2.2</t>
  </si>
  <si>
    <t>Other floor coverings</t>
  </si>
  <si>
    <t>05.2.0.1</t>
  </si>
  <si>
    <t>Furnishing fabrics and curtains</t>
  </si>
  <si>
    <t>05.2.0.2</t>
  </si>
  <si>
    <t>Bed linen</t>
  </si>
  <si>
    <t>05.2.0.3</t>
  </si>
  <si>
    <t>Table linen and bathroom linen</t>
  </si>
  <si>
    <t>05.3.1</t>
  </si>
  <si>
    <t>Major household appliances whether electric or not</t>
  </si>
  <si>
    <t>05.3.1.1</t>
  </si>
  <si>
    <t>Refrigerators, freezers and fridge-freezers</t>
  </si>
  <si>
    <t>05.3.1.2</t>
  </si>
  <si>
    <t>Clothes washing machines, clothes drying machines and dishwashing machines</t>
  </si>
  <si>
    <t>05.3.1.3</t>
  </si>
  <si>
    <t>Cookers</t>
  </si>
  <si>
    <t>05.3.1.4</t>
  </si>
  <si>
    <t>Heaters, air conditioners</t>
  </si>
  <si>
    <t>05.3.1.5</t>
  </si>
  <si>
    <t>Cleaning equipment</t>
  </si>
  <si>
    <t>05.3.2</t>
  </si>
  <si>
    <t>05.3.2.1</t>
  </si>
  <si>
    <t>Small electric household appliances</t>
  </si>
  <si>
    <t>Food processing appliances</t>
  </si>
  <si>
    <t>05.3.2.2</t>
  </si>
  <si>
    <t>Coffee machines, tea makers and similar appliances</t>
  </si>
  <si>
    <t>05.3.2.4</t>
  </si>
  <si>
    <t>Toasters and grils</t>
  </si>
  <si>
    <t>05.3.2.9</t>
  </si>
  <si>
    <t>05.3.3</t>
  </si>
  <si>
    <t>05.3.3.2</t>
  </si>
  <si>
    <t>Spare parts and Repair of household appliances</t>
  </si>
  <si>
    <t>Repairs and hire of household appliances</t>
  </si>
  <si>
    <t>05.4.0.1</t>
  </si>
  <si>
    <t>Glassware, crystal-ware, ceramic ware and chinaware</t>
  </si>
  <si>
    <t>05.4.0.2</t>
  </si>
  <si>
    <t>Cutlery, flatware and silverware</t>
  </si>
  <si>
    <t>05.4.0.3</t>
  </si>
  <si>
    <t>Non-electric kitchen utensils and articles</t>
  </si>
  <si>
    <t>05.5.2.1</t>
  </si>
  <si>
    <t>Non-motorized small tools</t>
  </si>
  <si>
    <t>05.5.2.2</t>
  </si>
  <si>
    <t>Miscellaneous small tool accessories</t>
  </si>
  <si>
    <t>05.5.2.3</t>
  </si>
  <si>
    <t>05.6.1.1</t>
  </si>
  <si>
    <t>Cleaning and maintenance products</t>
  </si>
  <si>
    <t>05.6.1.2</t>
  </si>
  <si>
    <t>05.6.2.1</t>
  </si>
  <si>
    <t>Domestic services by paid staff</t>
  </si>
  <si>
    <t>05.6.2.2</t>
  </si>
  <si>
    <t>Cleaning services</t>
  </si>
  <si>
    <t>05.6.2.3</t>
  </si>
  <si>
    <t>05.6.2.9</t>
  </si>
  <si>
    <t>Other domestic services and household services</t>
  </si>
  <si>
    <t>Other medical products</t>
  </si>
  <si>
    <t>Pregnancy tests and mechanical contraceptive devices</t>
  </si>
  <si>
    <t>06.1.3</t>
  </si>
  <si>
    <t>New motor cars</t>
  </si>
  <si>
    <t>Motor cars</t>
  </si>
  <si>
    <t>07.1.1.2</t>
  </si>
  <si>
    <t>Second-hand motor cars</t>
  </si>
  <si>
    <t>Motor cycles</t>
  </si>
  <si>
    <t>Bicycles</t>
  </si>
  <si>
    <t>Tyres</t>
  </si>
  <si>
    <t>Spare parts for personal transport equipment</t>
  </si>
  <si>
    <t>Accessories for personal transport equipment</t>
  </si>
  <si>
    <t>07.2.2.2</t>
  </si>
  <si>
    <t>07.2.2.3</t>
  </si>
  <si>
    <t>Other fuels for pesonal transport equipment</t>
  </si>
  <si>
    <t>Hire of garages, parking spaces and personal transport equipment</t>
  </si>
  <si>
    <t>Toll facilities and parking meters</t>
  </si>
  <si>
    <t>Passenger transport by train</t>
  </si>
  <si>
    <t>07.3.1.2</t>
  </si>
  <si>
    <t>Passenger transport by underground and tram</t>
  </si>
  <si>
    <t>Passenger transport by bus and coach</t>
  </si>
  <si>
    <t>07.3.2.2</t>
  </si>
  <si>
    <t>Passenger transport by taxi and hired car with driver</t>
  </si>
  <si>
    <t>Removal and storage services</t>
  </si>
  <si>
    <t>Other purchased transport services NEC</t>
  </si>
  <si>
    <t>Telephone and telefax equipment</t>
  </si>
  <si>
    <t>Telephone and telefax services</t>
  </si>
  <si>
    <t>Wired telephone services</t>
  </si>
  <si>
    <t>08.3.0.2</t>
  </si>
  <si>
    <t>Wireless telephone services</t>
  </si>
  <si>
    <t>08.3.0.4</t>
  </si>
  <si>
    <t>Bundled telecommunication services</t>
  </si>
  <si>
    <t>Equipment for the reception, recording and reproduction of sound and picture</t>
  </si>
  <si>
    <t xml:space="preserve">Equipment for the reception, recording and reproduction of sound </t>
  </si>
  <si>
    <t>Equipment for the reception, recording and reproduction of sound and vision</t>
  </si>
  <si>
    <t>Portable sound and vision devices</t>
  </si>
  <si>
    <t>Other equipment for the reception, recording and reproduction of sound and picture</t>
  </si>
  <si>
    <t>Cameras</t>
  </si>
  <si>
    <t>Personal computers</t>
  </si>
  <si>
    <t>Pre-recorded recording media</t>
  </si>
  <si>
    <t>Unrecorded recording media</t>
  </si>
  <si>
    <t>Other recording media</t>
  </si>
  <si>
    <t>Major durables for outdoor recreation</t>
  </si>
  <si>
    <t>09.2.1.5</t>
  </si>
  <si>
    <t>Major items for games and sport</t>
  </si>
  <si>
    <t>09.2.2</t>
  </si>
  <si>
    <t>Musical instruments and major durables for indoor recreation</t>
  </si>
  <si>
    <t>09.3.1</t>
  </si>
  <si>
    <t>09.3.1.1</t>
  </si>
  <si>
    <t>Other recreational items and equipment, gardens and pets</t>
  </si>
  <si>
    <t>Games, toys and hobbies</t>
  </si>
  <si>
    <t>Games and hobbies</t>
  </si>
  <si>
    <t>09.3.1.2</t>
  </si>
  <si>
    <t>Toys and celebration articles</t>
  </si>
  <si>
    <t>09.3.2</t>
  </si>
  <si>
    <t>EQUIPMENT FOR SPORT, CAMPING AND OPEN AIR RECREATION</t>
  </si>
  <si>
    <t>09.3.3</t>
  </si>
  <si>
    <t>09.3.3.1</t>
  </si>
  <si>
    <t>Gardens, plants and flowers</t>
  </si>
  <si>
    <t>Garden products</t>
  </si>
  <si>
    <t>09.3.3.2</t>
  </si>
  <si>
    <t>Plants and flowers</t>
  </si>
  <si>
    <t>09.3.4</t>
  </si>
  <si>
    <t>Pets and related products</t>
  </si>
  <si>
    <t>09.3.4.2</t>
  </si>
  <si>
    <t>Products for pets</t>
  </si>
  <si>
    <t>09.4.1</t>
  </si>
  <si>
    <t>Recreational and cultural services</t>
  </si>
  <si>
    <t>Recreations and sporting services</t>
  </si>
  <si>
    <t>09.4.1.2</t>
  </si>
  <si>
    <t>RECREATIONAL AND SPORTING SERVICES - Participation</t>
  </si>
  <si>
    <t>09.4.2</t>
  </si>
  <si>
    <t>09.4.2.1</t>
  </si>
  <si>
    <t>Cultural services</t>
  </si>
  <si>
    <t>Cinemas, theatres, concerts</t>
  </si>
  <si>
    <t>09.4.2.3</t>
  </si>
  <si>
    <t>Television and radio licence fees and subscriptions</t>
  </si>
  <si>
    <t>09.4.2.4</t>
  </si>
  <si>
    <t>Hire of equipment and accessories for culture</t>
  </si>
  <si>
    <t>09.4.2.4.1</t>
  </si>
  <si>
    <t>09.4.2.5</t>
  </si>
  <si>
    <t>Photographic services</t>
  </si>
  <si>
    <t>09.4.3</t>
  </si>
  <si>
    <t>Games of chance</t>
  </si>
  <si>
    <t>09.5.1</t>
  </si>
  <si>
    <t>09.5.1.1</t>
  </si>
  <si>
    <t>Newspapers, books and stationary</t>
  </si>
  <si>
    <t>Books</t>
  </si>
  <si>
    <t>Fiction books</t>
  </si>
  <si>
    <t>09.5.1.4</t>
  </si>
  <si>
    <t>Binding services and E-book downloads</t>
  </si>
  <si>
    <t>09.5.2</t>
  </si>
  <si>
    <t>Newspapers and periodicals</t>
  </si>
  <si>
    <t>09.5.2.2</t>
  </si>
  <si>
    <t>Magazines and periodicals</t>
  </si>
  <si>
    <t>09.5.3</t>
  </si>
  <si>
    <t>Miscellaneous printed material</t>
  </si>
  <si>
    <t>09.5.4</t>
  </si>
  <si>
    <t>09.5.4.1</t>
  </si>
  <si>
    <t>Stationery and drawing materials</t>
  </si>
  <si>
    <t>Paper products</t>
  </si>
  <si>
    <t>09.5.4.2</t>
  </si>
  <si>
    <t>Other stationery and drawing materials</t>
  </si>
  <si>
    <t>Package holidays</t>
  </si>
  <si>
    <t>Package domestic holidays</t>
  </si>
  <si>
    <t>Package international holidays</t>
  </si>
  <si>
    <t>Education</t>
  </si>
  <si>
    <t>PRE-PRIMARY and primary EDUCATION</t>
  </si>
  <si>
    <t>10.1.2</t>
  </si>
  <si>
    <t>Primary education</t>
  </si>
  <si>
    <t>10.2.1</t>
  </si>
  <si>
    <t>Secondary education</t>
  </si>
  <si>
    <t>Private secondary education fees</t>
  </si>
  <si>
    <t>10.2.2</t>
  </si>
  <si>
    <t xml:space="preserve">Boarding school fees </t>
  </si>
  <si>
    <t>Post secondary non-tertiary education</t>
  </si>
  <si>
    <t>10.4.1</t>
  </si>
  <si>
    <t>Tertiary education</t>
  </si>
  <si>
    <t>10.5.1</t>
  </si>
  <si>
    <t>Education not definable by level</t>
  </si>
  <si>
    <t>Fees for Education courses not definable by level</t>
  </si>
  <si>
    <t>EXAMINATION FEES for education courses not definable by level</t>
  </si>
  <si>
    <t>12.1.1</t>
  </si>
  <si>
    <t>12.1.1.1</t>
  </si>
  <si>
    <t>Miscellaneous goods and services</t>
  </si>
  <si>
    <t>Personal care</t>
  </si>
  <si>
    <t>Hairdressing salons and personal grooming establishments</t>
  </si>
  <si>
    <t>Hairdressing for men and children</t>
  </si>
  <si>
    <t>12.1.1.2</t>
  </si>
  <si>
    <t>Hairdressing for women</t>
  </si>
  <si>
    <t>12.1.1.3</t>
  </si>
  <si>
    <t>Personal grooming treatments</t>
  </si>
  <si>
    <t>12.1.2</t>
  </si>
  <si>
    <t>12.1.2.1</t>
  </si>
  <si>
    <t>Electric appliances for personal care</t>
  </si>
  <si>
    <t>12.1.3</t>
  </si>
  <si>
    <t>12.1.3.1</t>
  </si>
  <si>
    <t>Other appliances, articles and products for personal care</t>
  </si>
  <si>
    <t>Non-electrical appliances</t>
  </si>
  <si>
    <t>12.1.3.2</t>
  </si>
  <si>
    <t>12.1.3.2.1</t>
  </si>
  <si>
    <t>Articles for personal hygiene and wellness, esoteric products and beauty products</t>
  </si>
  <si>
    <t>12.1.3.2.2</t>
  </si>
  <si>
    <t>12.1.3.2.3</t>
  </si>
  <si>
    <t>12.1.3.4</t>
  </si>
  <si>
    <t>Personal effects NEC</t>
  </si>
  <si>
    <t>12.3.1</t>
  </si>
  <si>
    <t>Jewellery, clocks and watches</t>
  </si>
  <si>
    <t>12.3.1.2</t>
  </si>
  <si>
    <t>Clocks and watches</t>
  </si>
  <si>
    <t>12.3.2</t>
  </si>
  <si>
    <t>12.3.2.1</t>
  </si>
  <si>
    <t>Other personal effects</t>
  </si>
  <si>
    <t>Travel goods</t>
  </si>
  <si>
    <t>12.3.2.2</t>
  </si>
  <si>
    <t>Articles for babies</t>
  </si>
  <si>
    <t>12.3.2.9</t>
  </si>
  <si>
    <t>Other personal effects NEC</t>
  </si>
  <si>
    <t>Social protection</t>
  </si>
  <si>
    <t>Insurance</t>
  </si>
  <si>
    <t>12.5.1</t>
  </si>
  <si>
    <t>12.5.2</t>
  </si>
  <si>
    <t>Insurance connected with the dwelling</t>
  </si>
  <si>
    <t>12.5.3</t>
  </si>
  <si>
    <t>Insurance connected with health</t>
  </si>
  <si>
    <t>12.5.3.2</t>
  </si>
  <si>
    <t>Private health insurance</t>
  </si>
  <si>
    <t>12.5.4</t>
  </si>
  <si>
    <t>12.5.4.1</t>
  </si>
  <si>
    <t>Insurance connected with transport</t>
  </si>
  <si>
    <t>Motor vehicle insurance</t>
  </si>
  <si>
    <t>12.5.5</t>
  </si>
  <si>
    <t>Financial services NEC</t>
  </si>
  <si>
    <t>12.6.2</t>
  </si>
  <si>
    <t>12.6.2.1</t>
  </si>
  <si>
    <t>Other financial services NEC</t>
  </si>
  <si>
    <t>Charges by banks and post offices</t>
  </si>
  <si>
    <t>Other services NEC</t>
  </si>
  <si>
    <t>12.7.0.1</t>
  </si>
  <si>
    <t>Administrative fees</t>
  </si>
  <si>
    <t>12.7.0.2</t>
  </si>
  <si>
    <t>Legal services and accountancy</t>
  </si>
  <si>
    <t>12.7.0.4</t>
  </si>
  <si>
    <t>Other fees and services</t>
  </si>
  <si>
    <t>20.1.1</t>
  </si>
  <si>
    <t>20.1.1.1</t>
  </si>
  <si>
    <t>20.1.2</t>
  </si>
  <si>
    <t>20.1.3</t>
  </si>
  <si>
    <t>20.1.4</t>
  </si>
  <si>
    <t>20.1.4.1</t>
  </si>
  <si>
    <t>20.5.2.2</t>
  </si>
  <si>
    <t>20.5.3.1</t>
  </si>
  <si>
    <t>20.5.3</t>
  </si>
  <si>
    <t>20.5.4</t>
  </si>
  <si>
    <t>20.5.5</t>
  </si>
  <si>
    <t>20.5.2</t>
  </si>
  <si>
    <t>20.5.2.1</t>
  </si>
  <si>
    <t>20.5.1.1</t>
  </si>
  <si>
    <t>20.5.1</t>
  </si>
  <si>
    <t>Mortgage related payments</t>
  </si>
  <si>
    <t>Outright purchase or deposit on main dwelling</t>
  </si>
  <si>
    <t>Capital improvements</t>
  </si>
  <si>
    <t>Second dwelling related payments</t>
  </si>
  <si>
    <t>Purchase, mortgage, insurance (secondary dwelling)</t>
  </si>
  <si>
    <t>Food stamps, other food related expenditure</t>
  </si>
  <si>
    <t>Stamp duty, licences and fines (excluding motoring fines)</t>
  </si>
  <si>
    <t>Mortgage, structural &amp; contents insurance (second dwelling)</t>
  </si>
  <si>
    <t>Money spent abroad &amp; in Duty free</t>
  </si>
  <si>
    <t>Money to other persons</t>
  </si>
  <si>
    <t>Money given to those inside the household</t>
  </si>
  <si>
    <t>Interest, instalment and account payments</t>
  </si>
  <si>
    <t>HOLIDAY CENTRES, CAMPING SITES AND SIMILAR ACCOMMODATION SERVICES</t>
  </si>
  <si>
    <t>11.2.2.2</t>
  </si>
  <si>
    <t>Hostels</t>
  </si>
  <si>
    <t>11.2.2.1</t>
  </si>
  <si>
    <t>11.2.1.2</t>
  </si>
  <si>
    <t>11.2.1.1</t>
  </si>
  <si>
    <t>04.5.4.1.3</t>
  </si>
  <si>
    <t>Firewood</t>
  </si>
  <si>
    <t>Coal and Anthracite</t>
  </si>
  <si>
    <t>05.5.1.1</t>
  </si>
  <si>
    <t>05.5.1.2</t>
  </si>
  <si>
    <t>Tool hire and repair</t>
  </si>
  <si>
    <t xml:space="preserve">Major tools </t>
  </si>
  <si>
    <t>07.2.2.4</t>
  </si>
  <si>
    <t>Lubricants for personal transport equipment</t>
  </si>
  <si>
    <t>Car wash &amp; maintenance</t>
  </si>
  <si>
    <t>07.2.3.2.1</t>
  </si>
  <si>
    <t>Repair and breakdown services of personal transport equipment</t>
  </si>
  <si>
    <t>07.2.4.3</t>
  </si>
  <si>
    <t>Driving lessons, test &amp; licence fees</t>
  </si>
  <si>
    <t>Accommodation services</t>
  </si>
  <si>
    <t>Hotels, Guesthouses, Inns etc (ROI)</t>
  </si>
  <si>
    <t>Hotels, Guesthouses, Inns etc (Abroad)</t>
  </si>
  <si>
    <t>Hygiene products</t>
  </si>
  <si>
    <t>Hair products</t>
  </si>
  <si>
    <t>Cosmetic and skincare products</t>
  </si>
  <si>
    <t>Toilet accessories</t>
  </si>
  <si>
    <t>Peanut and other vegetable butters</t>
  </si>
  <si>
    <t>Dried vegetables and pulses</t>
  </si>
  <si>
    <t>Tinned vegetables</t>
  </si>
  <si>
    <t>Mens outerwear</t>
  </si>
  <si>
    <t>03.1.2.1.1</t>
  </si>
  <si>
    <t>03.1.2.1.2</t>
  </si>
  <si>
    <t>Mens nightwear and underwear</t>
  </si>
  <si>
    <t>Ladies outerwear</t>
  </si>
  <si>
    <t>03.1.2.2.2</t>
  </si>
  <si>
    <t>Ladies nightwear and underwear</t>
  </si>
  <si>
    <t>Boys outerwear</t>
  </si>
  <si>
    <t>Girls outerwear</t>
  </si>
  <si>
    <t>Baby and Toddler clothing</t>
  </si>
  <si>
    <t>Boys nightwear and underwear</t>
  </si>
  <si>
    <t>Girls nightwear and underwear</t>
  </si>
  <si>
    <t>Mens clothing accessories</t>
  </si>
  <si>
    <t>Therapeutic appliances and equipment</t>
  </si>
  <si>
    <t>06.1.3.1.1</t>
  </si>
  <si>
    <t>Spectacles and contact lenses</t>
  </si>
  <si>
    <t>Hearing aids</t>
  </si>
  <si>
    <t>06.1.3.1</t>
  </si>
  <si>
    <t>Purchase of spectacles, lenses, prescription sunglasses</t>
  </si>
  <si>
    <t>Accessories and repairs to specs and lenses</t>
  </si>
  <si>
    <t>06.1.3.1.2</t>
  </si>
  <si>
    <t>06.1.3.2</t>
  </si>
  <si>
    <t>Non optical appliances and equipment (eg wheelchairs, batteries for hearing aids, shoe build up)</t>
  </si>
  <si>
    <t>06.1.3.2.1</t>
  </si>
  <si>
    <t>06.1.3.2.2</t>
  </si>
  <si>
    <t>Dentures</t>
  </si>
  <si>
    <t>06.1.3.2.3</t>
  </si>
  <si>
    <t>Other non-optical therapeutic appliances and equipment</t>
  </si>
  <si>
    <t>DVD/CD/Book rental</t>
  </si>
  <si>
    <t>OTHER STATIONERY</t>
  </si>
  <si>
    <t>THIRD LEVEL EDUCATION EXPENDITURE</t>
  </si>
  <si>
    <t>11.2.1.1.3</t>
  </si>
  <si>
    <t>GUEST HOUSES &amp; B&amp;BS (ABROAD)</t>
  </si>
  <si>
    <t>11.2.3</t>
  </si>
  <si>
    <t>Non-consumption expenditure</t>
  </si>
  <si>
    <t>Dwelling related expenditure</t>
  </si>
  <si>
    <t>Savings, pensions and other money</t>
  </si>
  <si>
    <t>Miscellaneous payments</t>
  </si>
  <si>
    <t>Heating Oil</t>
  </si>
  <si>
    <t>04.5.3.1.1</t>
  </si>
  <si>
    <t>Restaurants and hotels</t>
  </si>
  <si>
    <t>Catering services</t>
  </si>
  <si>
    <t>11.1.1</t>
  </si>
  <si>
    <t>Restaurants, cafes and the like</t>
  </si>
  <si>
    <t>11.1.1.1</t>
  </si>
  <si>
    <t>Meals and drinks consumed away from home</t>
  </si>
  <si>
    <t>11.1.1.1.1</t>
  </si>
  <si>
    <t>Meals and non-alcoholic drinks consumed away from home</t>
  </si>
  <si>
    <t>Tea/Coffee - consumed away from home</t>
  </si>
  <si>
    <t>11.1.1.1.2</t>
  </si>
  <si>
    <t>Alcoholic drinks - consumed away from home</t>
  </si>
  <si>
    <t>11.1.1.1.2.1</t>
  </si>
  <si>
    <t>Spirits and liquers - consumed away from home</t>
  </si>
  <si>
    <t>11.1.1.1.2.1.1</t>
  </si>
  <si>
    <t>Whiskey - consumed away from home</t>
  </si>
  <si>
    <t>11.1.1.1.2.1.2</t>
  </si>
  <si>
    <t>Brandy - consumed away from home</t>
  </si>
  <si>
    <t>11.1.1.1.2.1.3</t>
  </si>
  <si>
    <t>Vodka - consumed away from home</t>
  </si>
  <si>
    <t>11.1.1.1.2.1.4</t>
  </si>
  <si>
    <t>Other spirits - consumed away from home</t>
  </si>
  <si>
    <t>11.1.1.1.2.1.5</t>
  </si>
  <si>
    <t>Cream liqueur - consumed away from home</t>
  </si>
  <si>
    <t>11.1.1.1.2.1.6</t>
  </si>
  <si>
    <t>Other liquer - consumed away from home</t>
  </si>
  <si>
    <t>11.1.1.1.2.1.7</t>
  </si>
  <si>
    <t>Cocktails - consumed away from home</t>
  </si>
  <si>
    <t>11.1.1.1.2.1.8</t>
  </si>
  <si>
    <t>Spirits with mixer - consumed away from home</t>
  </si>
  <si>
    <t>11.1.1.1.2.2</t>
  </si>
  <si>
    <t>Alcoholic soft drinks - consumed away from home</t>
  </si>
  <si>
    <t>11.1.1.1.2.3</t>
  </si>
  <si>
    <t>Wine from grapes - consumed away from home</t>
  </si>
  <si>
    <t>11.1.1.1.2.3.1</t>
  </si>
  <si>
    <t>Wine - consumed away from home</t>
  </si>
  <si>
    <t>11.1.1.1.2.3.2</t>
  </si>
  <si>
    <t>Sparkling wine - consumed away from home</t>
  </si>
  <si>
    <t>Wine from other fruit - consumed away from home</t>
  </si>
  <si>
    <t>11.1.1.1.2.4.1</t>
  </si>
  <si>
    <t>Cider - consumed away from home</t>
  </si>
  <si>
    <t>11.1.1.1.2.4.2</t>
  </si>
  <si>
    <t>Perry - consumed away from home</t>
  </si>
  <si>
    <t>11.1.1.1.2.5</t>
  </si>
  <si>
    <t>Fortified wine - consumed away from home</t>
  </si>
  <si>
    <t>11.1.1.1.2.5.1</t>
  </si>
  <si>
    <t>Sherry - consumed away from home</t>
  </si>
  <si>
    <t>11.1.1.1.2.5.2</t>
  </si>
  <si>
    <t>Other fortified wine - consumed away from home</t>
  </si>
  <si>
    <t>11.1.1.1.2.6</t>
  </si>
  <si>
    <t>Lager Beer - consumed away from home</t>
  </si>
  <si>
    <t>11.1.1.1.2.7</t>
  </si>
  <si>
    <t>Other alcoholic beer - consumed away from home</t>
  </si>
  <si>
    <t>11.1.1.1.2.7.1</t>
  </si>
  <si>
    <t>Stout - consumed away from home</t>
  </si>
  <si>
    <t>11.1.1.1.2.7.2</t>
  </si>
  <si>
    <t>Other ales, beers &amp; bitters - consumed away from home</t>
  </si>
  <si>
    <t>11.1.1.1.2.8</t>
  </si>
  <si>
    <t>Low alcohol or non-alcoholic beer - consumed away from home</t>
  </si>
  <si>
    <t>11.1.1.1.2.9</t>
  </si>
  <si>
    <t>Beer-based drinks - consumed away from home</t>
  </si>
  <si>
    <t>Canteens</t>
  </si>
  <si>
    <t>11.1.1.2</t>
  </si>
  <si>
    <t>11.1.1.2.1</t>
  </si>
  <si>
    <t>Takeaway and home delivery meals</t>
  </si>
  <si>
    <t>Chicken eg chicken pieces, chicken nuggets, chicken from chip shop or KFC</t>
  </si>
  <si>
    <t>Fish-based meals incl Indian &amp; Chinese takeaways eg prawn curry</t>
  </si>
  <si>
    <t>All veg takeaway products eg veg curry, onion bhajis, spring rolls, veg samosas, salad, coleslaw, peas</t>
  </si>
  <si>
    <t>Pizza - takeaway and home delivery</t>
  </si>
  <si>
    <t>Takeaway sandwiches</t>
  </si>
  <si>
    <t>Confectionery (sweets and chocolate)</t>
  </si>
  <si>
    <t>Ice cream, ice cream products, milkshakes, jellies etc</t>
  </si>
  <si>
    <t>Sauces, mayonnaise eg curry sauce</t>
  </si>
  <si>
    <t>Soups</t>
  </si>
  <si>
    <t>Soft drinks, fruit juices &amp; water</t>
  </si>
  <si>
    <t>Cooked rice eg boiled rice, fried rice, pilau rice</t>
  </si>
  <si>
    <t>Other takeaway food brought home</t>
  </si>
  <si>
    <t>Pasta &amp; noodles</t>
  </si>
  <si>
    <t>Breads eg garlic bread, nan, chapati, rolls</t>
  </si>
  <si>
    <t>Cakes, pastries, buns, biscuits etc incl cake, sponge pudding, doughnut, custard, rice pud</t>
  </si>
  <si>
    <t>Burger &amp; bun eg hamburger, cheeseburger, chicken burger</t>
  </si>
  <si>
    <t>Kebabs eg doner kebab, shish kebab, chicken kebab</t>
  </si>
  <si>
    <t>Sausages</t>
  </si>
  <si>
    <t>Meat-based meals incl Indian &amp; Chinese takeaways eg Beef curry, chicken curry, chicken tikka, chow mein</t>
  </si>
  <si>
    <t>Leaf and stem vegetables</t>
  </si>
  <si>
    <t>Cabbages</t>
  </si>
  <si>
    <t>Vegetables cultivated for their fruit</t>
  </si>
  <si>
    <t>Root crops, non-starchy bulbs and mushrooms</t>
  </si>
  <si>
    <t>01.1.7.3.3</t>
  </si>
  <si>
    <t>01.1.7.3.3.1</t>
  </si>
  <si>
    <t>01.1.7.3.3.2</t>
  </si>
  <si>
    <t>01.1.7.3.3.3</t>
  </si>
  <si>
    <t>01.1.7.3.3.4</t>
  </si>
  <si>
    <t>Prepared vegetables &amp; vegetable meal products</t>
  </si>
  <si>
    <t>Other sugar products</t>
  </si>
  <si>
    <t>Lamb chops</t>
  </si>
  <si>
    <t>Lamb joints</t>
  </si>
  <si>
    <t>01.1.1.3.1</t>
  </si>
  <si>
    <t>01.1.2.8.02</t>
  </si>
  <si>
    <t>01.1.2.8.03</t>
  </si>
  <si>
    <t>01.1.2.8.04</t>
  </si>
  <si>
    <t>01.1.2.8.05</t>
  </si>
  <si>
    <t>01.1.2.8.06</t>
  </si>
  <si>
    <t>01.1.2.8.07</t>
  </si>
  <si>
    <t>01.1.2.8.08</t>
  </si>
  <si>
    <t>01.1.2.8.09</t>
  </si>
  <si>
    <t>01.1.2.8.01</t>
  </si>
  <si>
    <t>Pure butter</t>
  </si>
  <si>
    <t>03.1.2.1.1.01</t>
  </si>
  <si>
    <t>03.1.2.1.1.02</t>
  </si>
  <si>
    <t>03.1.2.1.1.03</t>
  </si>
  <si>
    <t>03.1.2.1.1.04</t>
  </si>
  <si>
    <t>03.1.2.1.1.05</t>
  </si>
  <si>
    <t>03.1.2.1.1.06</t>
  </si>
  <si>
    <t>03.1.2.1.1.07</t>
  </si>
  <si>
    <t>03.1.2.1.1.08</t>
  </si>
  <si>
    <t>03.1.2.1.1.09</t>
  </si>
  <si>
    <t>03.1.2.2.1.01</t>
  </si>
  <si>
    <t>03.1.2.2.1.02</t>
  </si>
  <si>
    <t>03.1.2.2.1.03</t>
  </si>
  <si>
    <t>03.1.2.2.1.04</t>
  </si>
  <si>
    <t>03.1.2.2.1.05</t>
  </si>
  <si>
    <t>03.1.2.2.1.06</t>
  </si>
  <si>
    <t>03.1.2.2.1.07</t>
  </si>
  <si>
    <t>03.1.2.2.1.08</t>
  </si>
  <si>
    <t>03.1.2.2.1.09</t>
  </si>
  <si>
    <t>05.1.1.1.01</t>
  </si>
  <si>
    <t>05.1.1.1.02</t>
  </si>
  <si>
    <t>05.1.1.1.03</t>
  </si>
  <si>
    <t>05.1.1.1.04</t>
  </si>
  <si>
    <t>05.1.1.1.05</t>
  </si>
  <si>
    <t>05.1.1.1.06</t>
  </si>
  <si>
    <t>05.1.1.1.07</t>
  </si>
  <si>
    <t>05.1.1.1.08</t>
  </si>
  <si>
    <t>05.1.1.1.09</t>
  </si>
  <si>
    <t>05.4.0.3.01</t>
  </si>
  <si>
    <t>05.4.0.3.02</t>
  </si>
  <si>
    <t>05.4.0.3.03</t>
  </si>
  <si>
    <t>05.4.0.3.04</t>
  </si>
  <si>
    <t>05.4.0.3.05</t>
  </si>
  <si>
    <t>05.4.0.3.06</t>
  </si>
  <si>
    <t>05.4.0.3.07</t>
  </si>
  <si>
    <t>05.4.0.3.08</t>
  </si>
  <si>
    <t>05.4.0.3.09</t>
  </si>
  <si>
    <t>05.6.1.1.01</t>
  </si>
  <si>
    <t>05.6.1.1.02</t>
  </si>
  <si>
    <t>05.6.1.1.03</t>
  </si>
  <si>
    <t>05.6.1.1.04</t>
  </si>
  <si>
    <t>05.6.1.1.05</t>
  </si>
  <si>
    <t>05.6.1.1.06</t>
  </si>
  <si>
    <t>05.6.1.1.07</t>
  </si>
  <si>
    <t>05.6.1.1.08</t>
  </si>
  <si>
    <t>05.6.1.1.09</t>
  </si>
  <si>
    <t>05.6.1.2.01</t>
  </si>
  <si>
    <t>05.6.1.2.02</t>
  </si>
  <si>
    <t>05.6.1.2.03</t>
  </si>
  <si>
    <t>05.6.1.2.04</t>
  </si>
  <si>
    <t>05.6.1.2.05</t>
  </si>
  <si>
    <t>05.6.1.2.06</t>
  </si>
  <si>
    <t>05.6.1.2.07</t>
  </si>
  <si>
    <t>05.6.1.2.08</t>
  </si>
  <si>
    <t>05.6.1.2.09</t>
  </si>
  <si>
    <t>11.1.1.1.2.4</t>
  </si>
  <si>
    <t>12.1.3.4.01</t>
  </si>
  <si>
    <t>12.1.3.2.3.01</t>
  </si>
  <si>
    <t>12.1.3.2.3.02</t>
  </si>
  <si>
    <t>12.1.3.2.3.03</t>
  </si>
  <si>
    <t>12.1.3.2.3.04</t>
  </si>
  <si>
    <t>12.1.3.2.3.05</t>
  </si>
  <si>
    <t>12.1.3.2.3.06</t>
  </si>
  <si>
    <t>12.1.3.2.3.07</t>
  </si>
  <si>
    <t>12.1.3.2.3.08</t>
  </si>
  <si>
    <t>12.1.3.2.3.09</t>
  </si>
  <si>
    <t>12.1.3.4.02</t>
  </si>
  <si>
    <t>12.1.3.4.03</t>
  </si>
  <si>
    <t>12.1.3.4.04</t>
  </si>
  <si>
    <t>12.1.3.4.05</t>
  </si>
  <si>
    <t>12.1.3.4.06</t>
  </si>
  <si>
    <t>12.1.3.4.07</t>
  </si>
  <si>
    <t>12.1.3.4.08</t>
  </si>
  <si>
    <t>12.1.3.4.09</t>
  </si>
  <si>
    <t>04.3.1.1.11</t>
  </si>
  <si>
    <t>04.3.1.1.12</t>
  </si>
  <si>
    <t>07.2.1.2.2</t>
  </si>
  <si>
    <t>01.1.6.1.02</t>
  </si>
  <si>
    <t>01.1.6.1.03</t>
  </si>
  <si>
    <t>01.1.6.1.04</t>
  </si>
  <si>
    <t>01.1.6.1.05</t>
  </si>
  <si>
    <t>01.1.6.1.06</t>
  </si>
  <si>
    <t>01.1.6.1.07</t>
  </si>
  <si>
    <t>01.1.6.1.08</t>
  </si>
  <si>
    <t>01.1.6.1.09</t>
  </si>
  <si>
    <t>04.3.1.1.01</t>
  </si>
  <si>
    <t>04.3.1.1.02</t>
  </si>
  <si>
    <t>04.3.1.1.03</t>
  </si>
  <si>
    <t>04.3.1.1.04</t>
  </si>
  <si>
    <t>04.3.1.1.05</t>
  </si>
  <si>
    <t>04.3.1.1.06</t>
  </si>
  <si>
    <t>04.3.1.1.07</t>
  </si>
  <si>
    <t>04.3.1.1.08</t>
  </si>
  <si>
    <t>04.3.1.1.09</t>
  </si>
  <si>
    <t>Dairy desserts - not frozen eg mousse, trifle, cheesecake</t>
  </si>
  <si>
    <t>Milk drinks &amp; other READY TO DRINK milks eg buttermilk, flavoured milk, goats milk, Yakult, milkshakes</t>
  </si>
  <si>
    <t>01.1.4.6.3</t>
  </si>
  <si>
    <t>01.1.4.6.4</t>
  </si>
  <si>
    <t>Meat pies &amp; pasties</t>
  </si>
  <si>
    <t>Fish eg from fish n chip shop</t>
  </si>
  <si>
    <t>Fish products eg fish cakes, scampi, fish burgers</t>
  </si>
  <si>
    <t>Chips eg from chip shop</t>
  </si>
  <si>
    <t>Crisps, savoury snacks, popcorn, popadums, prawn crackers</t>
  </si>
  <si>
    <t>Meals on wheels - not specified/ no detail given</t>
  </si>
  <si>
    <t>07.2.3.2.4</t>
  </si>
  <si>
    <t>Bicycle repair</t>
  </si>
  <si>
    <t>Fast food and take away food services</t>
  </si>
  <si>
    <t>11.1.1.3</t>
  </si>
  <si>
    <t>11.1.2</t>
  </si>
  <si>
    <t>Catering services eg for wedding, funeral, party,etc</t>
  </si>
  <si>
    <t>Accommodation services of other establishments</t>
  </si>
  <si>
    <t>11.2.3.3</t>
  </si>
  <si>
    <t>Room hire eg function room, band room</t>
  </si>
  <si>
    <t>Timeshares &amp; holiday homes abroad - purchase &amp; running costs</t>
  </si>
  <si>
    <t>11.1.1.2.1.01</t>
  </si>
  <si>
    <t>11.1.1.2.1.02</t>
  </si>
  <si>
    <t>11.1.1.2.1.03</t>
  </si>
  <si>
    <t>11.1.1.2.1.04</t>
  </si>
  <si>
    <t>11.1.1.2.1.05</t>
  </si>
  <si>
    <t>11.1.1.2.1.06</t>
  </si>
  <si>
    <t>11.1.1.2.1.07</t>
  </si>
  <si>
    <t>11.1.1.2.1.08</t>
  </si>
  <si>
    <t>11.1.1.2.1.09</t>
  </si>
  <si>
    <t>11.1.1.2.1.10</t>
  </si>
  <si>
    <t>11.1.1.2.1.11</t>
  </si>
  <si>
    <t>11.1.1.2.1.12</t>
  </si>
  <si>
    <t>11.1.1.2.1.13</t>
  </si>
  <si>
    <t>11.1.1.2.1.14</t>
  </si>
  <si>
    <t>11.1.1.2.1.15</t>
  </si>
  <si>
    <t>11.1.1.2.1.16</t>
  </si>
  <si>
    <t>11.1.1.2.1.17</t>
  </si>
  <si>
    <t>11.1.1.2.1.18</t>
  </si>
  <si>
    <t>11.1.1.2.1.19</t>
  </si>
  <si>
    <t>11.1.1.2.1.20</t>
  </si>
  <si>
    <t>11.1.1.2.1.21</t>
  </si>
  <si>
    <t>11.1.1.2.1.22</t>
  </si>
  <si>
    <t>11.1.1.2.1.24</t>
  </si>
  <si>
    <t>11.1.1.2.1.25</t>
  </si>
  <si>
    <t>11.1.1.2.1.26</t>
  </si>
  <si>
    <t>Other kitchen disposables eg  kitchen towel</t>
  </si>
  <si>
    <t>Other non-electrical appliances and products for personal care</t>
  </si>
  <si>
    <t>01.1.8.3.4</t>
  </si>
  <si>
    <t>Chocolate sweets (coated and filled)</t>
  </si>
  <si>
    <t>12.7.0.4.5</t>
  </si>
  <si>
    <t>12.5.5.1</t>
  </si>
  <si>
    <t>12.5.5.2</t>
  </si>
  <si>
    <t>Other insurance NEC</t>
  </si>
  <si>
    <t>Insurance for household appliances and extended warranties eg freezer, cooker, camcorder</t>
  </si>
  <si>
    <t>Other Babies clothing (under 2 years)</t>
  </si>
  <si>
    <t>07.2.1.3.5</t>
  </si>
  <si>
    <t>Bicycle accessories NEC</t>
  </si>
  <si>
    <t>Cold/flu remedies</t>
  </si>
  <si>
    <t>12.1.1.2.6</t>
  </si>
  <si>
    <t>Ladies - cut &amp; colour (inc highlights)</t>
  </si>
  <si>
    <t>Processed cheese (eg easi-singles, galtee, laughing cow)</t>
  </si>
  <si>
    <t>Cheese Products (eg grated cheese, sliced cheese)</t>
  </si>
  <si>
    <t>Date amended</t>
  </si>
  <si>
    <t>Processed cheese, cheese spreads &amp; cheese products eg Kraft Dairylea, Primula, Kraft slices</t>
  </si>
  <si>
    <t>Cheese Products</t>
  </si>
  <si>
    <t>new</t>
  </si>
  <si>
    <t>Other Babies outerwear (under 2 years)</t>
  </si>
  <si>
    <t>Cold/flu drinks powder</t>
  </si>
  <si>
    <t>New</t>
  </si>
  <si>
    <t>12.5.5.0</t>
  </si>
  <si>
    <t xml:space="preserve">OTHER TOYS </t>
  </si>
  <si>
    <t>11.1.1.1.1.01</t>
  </si>
  <si>
    <t>11.1.1.1.1.02</t>
  </si>
  <si>
    <t>11.1.1.1.1.03</t>
  </si>
  <si>
    <t>11.1.1.1.1.04</t>
  </si>
  <si>
    <t>Pizza</t>
  </si>
  <si>
    <t>11.1.1.1.1.05</t>
  </si>
  <si>
    <t>11.1.1.1.1.06</t>
  </si>
  <si>
    <t>Teacakes, scones, currant buns and iced buns</t>
  </si>
  <si>
    <t>Biscuits &amp; cereal bars</t>
  </si>
  <si>
    <t>11.1.1.1.1.07</t>
  </si>
  <si>
    <t>11.1.1.1.1.08</t>
  </si>
  <si>
    <t>11.1.1.1.1.09</t>
  </si>
  <si>
    <t>Chocolate bars and chocolate sweets</t>
  </si>
  <si>
    <t>Other sweets and chewing gum</t>
  </si>
  <si>
    <t>11.1.1.1.1.10</t>
  </si>
  <si>
    <t>Milk, yoghurt, cheese and eggs</t>
  </si>
  <si>
    <t>Milk &amp; milk based drinks</t>
  </si>
  <si>
    <t>Yoghurt and fromage frais</t>
  </si>
  <si>
    <t>Cheese</t>
  </si>
  <si>
    <t>Eggs and egg dishes</t>
  </si>
  <si>
    <t>11.1.1.1.1.11</t>
  </si>
  <si>
    <t>11.1.1.1.1.11.1</t>
  </si>
  <si>
    <t>Fresh fruit</t>
  </si>
  <si>
    <t>11.1.1.1.1.11.2</t>
  </si>
  <si>
    <t>Dried/Processed fruit</t>
  </si>
  <si>
    <t>11.1.1.1.1.12</t>
  </si>
  <si>
    <t>Chips and french fries</t>
  </si>
  <si>
    <t>Other potato dishes not specified (e.g. jacket potato, wedges)</t>
  </si>
  <si>
    <t>11.1.1.1.1.13</t>
  </si>
  <si>
    <t>11.1.1.1.1.13.1</t>
  </si>
  <si>
    <t>11.1.1.1.1.13.2</t>
  </si>
  <si>
    <t>Vegetable burgers, vegetable lasagnes and vegetable based meals (inc tofu)</t>
  </si>
  <si>
    <t>11.1.1.1.1.14</t>
  </si>
  <si>
    <t>11.1.1.1.1.15</t>
  </si>
  <si>
    <t>Soup</t>
  </si>
  <si>
    <t>11.1.1.1.1.16</t>
  </si>
  <si>
    <t>11.1.1.1.1.17</t>
  </si>
  <si>
    <t xml:space="preserve">Meat-based meals </t>
  </si>
  <si>
    <t>11.1.1.1.1.17.1</t>
  </si>
  <si>
    <t>11.1.1.1.1.17.2</t>
  </si>
  <si>
    <t>Sausages and Hot Dogs</t>
  </si>
  <si>
    <t>11.1.1.1.1.18</t>
  </si>
  <si>
    <t>Fish-based meals</t>
  </si>
  <si>
    <t>11.1.1.1.1.18.1</t>
  </si>
  <si>
    <t>11.1.1.1.1.18.2</t>
  </si>
  <si>
    <t>11.1.1.1.1.19</t>
  </si>
  <si>
    <t>Other food products (e.g. sauces, additions &amp; toppings, baby food)</t>
  </si>
  <si>
    <t>Additions and toppings (eg butter, jam, cream)</t>
  </si>
  <si>
    <t>Commercial baby food</t>
  </si>
  <si>
    <t>11.1.1.1.1.20</t>
  </si>
  <si>
    <t>11.1.1.1.1.21</t>
  </si>
  <si>
    <t>11.1.1.1.1.21.1</t>
  </si>
  <si>
    <t>11.1.1.1.1.21.2</t>
  </si>
  <si>
    <t>Mineral water</t>
  </si>
  <si>
    <t>Soft drinks - carbonated &amp; still</t>
  </si>
  <si>
    <t>Fruit &amp; vegetable juices inc Smoothies</t>
  </si>
  <si>
    <t>11.1.1.1.1.22</t>
  </si>
  <si>
    <t>Buns, scones, biscuits</t>
  </si>
  <si>
    <t>Cakes, pastries and other dessert items</t>
  </si>
  <si>
    <t>Confectionery and ice cream</t>
  </si>
  <si>
    <t>Vegetables &amp; vegetable based dishes eg veg curry, onion bhajis, vegetable spring rolls)</t>
  </si>
  <si>
    <t>Salads (inc green salad, side salad, potato salad, pasta salad, coleslaw)</t>
  </si>
  <si>
    <t xml:space="preserve">Other meat-based meals, eg roast pork, duck </t>
  </si>
  <si>
    <t>Ice cream, ice cream products, milkshakes etc</t>
  </si>
  <si>
    <t>Chicken based meals, eg Roast chicken dinner, chicken curry</t>
  </si>
  <si>
    <t>Beef based meals, eg Roast beef dinner, beef curry</t>
  </si>
  <si>
    <t>Fish based meals, eg prawn curry, roast cod</t>
  </si>
  <si>
    <t>Other food NEC</t>
  </si>
  <si>
    <t>11.1.1.1.1.21.3</t>
  </si>
  <si>
    <t>11.1.1.1.1.23</t>
  </si>
  <si>
    <t>Soft drinks, fruit &amp; vegetable juices</t>
  </si>
  <si>
    <t>11.1.1.1.1.23.1</t>
  </si>
  <si>
    <t>11.1.1.1.1.23.2</t>
  </si>
  <si>
    <t>?</t>
  </si>
  <si>
    <t>Trade Union and professional organisations</t>
  </si>
  <si>
    <t>old code retained but adding a "0"</t>
  </si>
  <si>
    <t>11.1.1.1.1.04.1</t>
  </si>
  <si>
    <t>11.1.1.1.1.04.2</t>
  </si>
  <si>
    <t>11.1.1.1.1.15.1</t>
  </si>
  <si>
    <t>11.1.1.1.1.15.2</t>
  </si>
  <si>
    <t>11.1.1.1.1.16.1</t>
  </si>
  <si>
    <t>11.1.1.1.1.16.2</t>
  </si>
  <si>
    <t>11.1.1.1.1.22.1</t>
  </si>
  <si>
    <t>11.1.1.1.1.22.2</t>
  </si>
  <si>
    <t>11.1.1.1.1.24</t>
  </si>
  <si>
    <t>old code retained but adding a "0" and amend heading</t>
  </si>
  <si>
    <t>11.1.1.1.1.13.3</t>
  </si>
  <si>
    <t>11.1.1.1.1.15.3</t>
  </si>
  <si>
    <t>11.1.1.1.1.15.4</t>
  </si>
  <si>
    <t>11.1.1.1.1.21.4</t>
  </si>
  <si>
    <t>11.1.1.1.1.21.5</t>
  </si>
  <si>
    <t>11.1.1.1.1.21.6</t>
  </si>
  <si>
    <t>11.1.1.1.1.21.7</t>
  </si>
  <si>
    <t>11.1.1.1.1.21.8</t>
  </si>
  <si>
    <t>11.1.1.1.1.23.3</t>
  </si>
  <si>
    <t xml:space="preserve">Sandwiches/wrap/roll/bagel </t>
  </si>
  <si>
    <t>old code retained but adding a "0" and remove "consumed away from home"</t>
  </si>
  <si>
    <t>Hot chocolate and other hot drinks (excluding tea/coffee)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</si>
</sst>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name val="Cambria"/>
      <family val="1"/>
    </font>
    <font>
      <sz val="11"/>
      <color rgb="FFFF0000"/>
      <name val="Arial"/>
      <family val="2"/>
    </font>
    <font>
      <b/>
      <sz val="11"/>
      <name val="Arial"/>
      <family val="2"/>
    </font>
    <font>
      <sz val="11"/>
      <color theme="1" tint="4.9989318521683403E-2"/>
      <name val="Arial"/>
      <family val="2"/>
    </font>
    <font>
      <strike/>
      <sz val="11"/>
      <color rgb="FFFF0000"/>
      <name val="Arial"/>
      <family val="2"/>
    </font>
    <font>
      <b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1">
    <xf numFmtId="0" fontId="0" fillId="0" borderId="0" xfId="0"/>
    <xf numFmtId="14" fontId="0" fillId="2" borderId="0" xfId="0" applyNumberFormat="1" applyFill="1"/>
    <xf numFmtId="0" fontId="0" fillId="2" borderId="0" xfId="0" applyFill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4" fillId="2" borderId="0" xfId="0" applyFont="1" applyFill="1"/>
    <xf numFmtId="14" fontId="4" fillId="2" borderId="0" xfId="0" applyNumberFormat="1" applyFont="1" applyFill="1"/>
    <xf numFmtId="0" fontId="5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/>
    <xf numFmtId="0" fontId="6" fillId="0" borderId="0" xfId="0" applyFont="1"/>
    <xf numFmtId="0" fontId="2" fillId="0" borderId="0" xfId="0" applyFont="1"/>
    <xf numFmtId="0" fontId="7" fillId="0" borderId="0" xfId="0" applyFont="1" applyFill="1"/>
    <xf numFmtId="0" fontId="5" fillId="0" borderId="0" xfId="0" applyFont="1" applyFill="1"/>
    <xf numFmtId="0" fontId="2" fillId="0" borderId="0" xfId="0" applyNumberFormat="1" applyFont="1"/>
    <xf numFmtId="0" fontId="2" fillId="0" borderId="0" xfId="0" applyFont="1" applyFill="1"/>
    <xf numFmtId="0" fontId="6" fillId="0" borderId="0" xfId="0" applyNumberFormat="1" applyFont="1"/>
    <xf numFmtId="0" fontId="2" fillId="2" borderId="0" xfId="0" applyNumberFormat="1" applyFont="1" applyFill="1"/>
    <xf numFmtId="14" fontId="2" fillId="2" borderId="0" xfId="0" applyNumberFormat="1" applyFont="1" applyFill="1"/>
    <xf numFmtId="0" fontId="8" fillId="0" borderId="0" xfId="0" applyFont="1"/>
    <xf numFmtId="0" fontId="5" fillId="0" borderId="0" xfId="0" applyFont="1" applyFill="1" applyAlignment="1">
      <alignment horizontal="left"/>
    </xf>
    <xf numFmtId="0" fontId="2" fillId="0" borderId="0" xfId="0" applyNumberFormat="1" applyFont="1" applyFill="1"/>
    <xf numFmtId="0" fontId="2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5" fillId="0" borderId="0" xfId="0" applyFont="1"/>
    <xf numFmtId="0" fontId="9" fillId="0" borderId="0" xfId="0" applyFont="1"/>
    <xf numFmtId="0" fontId="9" fillId="0" borderId="0" xfId="0" applyFont="1" applyFill="1"/>
    <xf numFmtId="14" fontId="2" fillId="0" borderId="0" xfId="0" applyNumberFormat="1" applyFont="1"/>
    <xf numFmtId="14" fontId="5" fillId="3" borderId="0" xfId="0" applyNumberFormat="1" applyFont="1" applyFill="1"/>
    <xf numFmtId="0" fontId="8" fillId="0" borderId="0" xfId="0" applyFont="1" applyFill="1"/>
    <xf numFmtId="0" fontId="2" fillId="0" borderId="0" xfId="0" applyFont="1" applyBorder="1"/>
    <xf numFmtId="0" fontId="2" fillId="0" borderId="0" xfId="2" applyFont="1" applyFill="1"/>
    <xf numFmtId="0" fontId="2" fillId="0" borderId="0" xfId="1" applyFont="1" applyFill="1"/>
    <xf numFmtId="0" fontId="2" fillId="3" borderId="0" xfId="0" applyFont="1" applyFill="1" applyAlignment="1">
      <alignment horizontal="left"/>
    </xf>
    <xf numFmtId="14" fontId="2" fillId="3" borderId="0" xfId="0" applyNumberFormat="1" applyFont="1" applyFill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564"/>
  <sheetViews>
    <sheetView tabSelected="1" zoomScaleNormal="100" workbookViewId="0">
      <pane ySplit="1" topLeftCell="A1204" activePane="bottomLeft" state="frozen"/>
      <selection pane="bottomLeft" activeCell="B1217" sqref="B1217"/>
    </sheetView>
  </sheetViews>
  <sheetFormatPr defaultRowHeight="14.25"/>
  <cols>
    <col min="1" max="1" width="16.7109375" style="11" bestFit="1" customWidth="1"/>
    <col min="2" max="2" width="97.85546875" style="11" customWidth="1"/>
    <col min="3" max="3" width="9.140625" style="11"/>
    <col min="4" max="4" width="14.140625" style="11" bestFit="1" customWidth="1"/>
    <col min="5" max="5" width="51.140625" style="11" customWidth="1"/>
    <col min="6" max="6" width="84" style="11" bestFit="1" customWidth="1"/>
    <col min="7" max="16384" width="9.140625" style="11"/>
  </cols>
  <sheetData>
    <row r="1" spans="1:4" s="10" customFormat="1" ht="15">
      <c r="A1" s="10" t="s">
        <v>0</v>
      </c>
      <c r="B1" s="10" t="s">
        <v>1</v>
      </c>
      <c r="C1" s="10" t="s">
        <v>2</v>
      </c>
      <c r="D1" s="10" t="s">
        <v>2894</v>
      </c>
    </row>
    <row r="2" spans="1:4">
      <c r="A2" s="11" t="str">
        <f>"01"</f>
        <v>01</v>
      </c>
      <c r="B2" s="11" t="s">
        <v>1923</v>
      </c>
      <c r="C2" s="11">
        <v>1</v>
      </c>
    </row>
    <row r="3" spans="1:4">
      <c r="A3" s="11" t="str">
        <f>"01.1"</f>
        <v>01.1</v>
      </c>
      <c r="B3" s="11" t="s">
        <v>1924</v>
      </c>
      <c r="C3" s="11">
        <v>1</v>
      </c>
    </row>
    <row r="4" spans="1:4">
      <c r="A4" s="11" t="s">
        <v>1925</v>
      </c>
      <c r="B4" s="11" t="s">
        <v>1926</v>
      </c>
      <c r="C4" s="11">
        <v>1</v>
      </c>
    </row>
    <row r="5" spans="1:4">
      <c r="A5" s="11" t="s">
        <v>2097</v>
      </c>
      <c r="B5" s="11" t="s">
        <v>2098</v>
      </c>
      <c r="C5" s="11">
        <v>1</v>
      </c>
    </row>
    <row r="6" spans="1:4">
      <c r="A6" s="11" t="s">
        <v>3</v>
      </c>
      <c r="B6" s="11" t="s">
        <v>4</v>
      </c>
      <c r="C6" s="11">
        <v>1</v>
      </c>
    </row>
    <row r="7" spans="1:4">
      <c r="A7" s="11" t="s">
        <v>5</v>
      </c>
      <c r="B7" s="11" t="s">
        <v>6</v>
      </c>
      <c r="C7" s="11">
        <v>1</v>
      </c>
    </row>
    <row r="8" spans="1:4">
      <c r="A8" s="11" t="s">
        <v>7</v>
      </c>
      <c r="B8" s="11" t="s">
        <v>8</v>
      </c>
      <c r="C8" s="11">
        <v>1</v>
      </c>
    </row>
    <row r="9" spans="1:4">
      <c r="A9" s="11" t="s">
        <v>2099</v>
      </c>
      <c r="B9" s="11" t="s">
        <v>2100</v>
      </c>
      <c r="C9" s="11">
        <v>1</v>
      </c>
    </row>
    <row r="10" spans="1:4">
      <c r="A10" s="11" t="s">
        <v>2101</v>
      </c>
      <c r="B10" s="11" t="s">
        <v>1571</v>
      </c>
      <c r="C10" s="11">
        <v>1</v>
      </c>
    </row>
    <row r="11" spans="1:4">
      <c r="A11" s="11" t="s">
        <v>2102</v>
      </c>
      <c r="B11" s="11" t="s">
        <v>1572</v>
      </c>
      <c r="C11" s="11">
        <v>1</v>
      </c>
    </row>
    <row r="12" spans="1:4">
      <c r="A12" s="11" t="s">
        <v>2103</v>
      </c>
      <c r="B12" s="11" t="s">
        <v>1573</v>
      </c>
      <c r="C12" s="11">
        <v>1</v>
      </c>
    </row>
    <row r="13" spans="1:4">
      <c r="A13" s="11" t="s">
        <v>2104</v>
      </c>
      <c r="B13" s="11" t="s">
        <v>1574</v>
      </c>
      <c r="C13" s="11">
        <v>1</v>
      </c>
    </row>
    <row r="14" spans="1:4">
      <c r="A14" s="11" t="s">
        <v>2105</v>
      </c>
      <c r="B14" s="11" t="s">
        <v>1575</v>
      </c>
      <c r="C14" s="11">
        <v>1</v>
      </c>
    </row>
    <row r="15" spans="1:4">
      <c r="A15" s="11" t="s">
        <v>2106</v>
      </c>
      <c r="B15" s="11" t="s">
        <v>2107</v>
      </c>
      <c r="C15" s="11">
        <v>1</v>
      </c>
    </row>
    <row r="16" spans="1:4">
      <c r="A16" s="11" t="s">
        <v>2728</v>
      </c>
      <c r="B16" s="11" t="s">
        <v>2110</v>
      </c>
      <c r="C16" s="11">
        <v>1</v>
      </c>
    </row>
    <row r="17" spans="1:3">
      <c r="A17" s="11" t="s">
        <v>9</v>
      </c>
      <c r="B17" s="11" t="s">
        <v>10</v>
      </c>
      <c r="C17" s="11">
        <v>1</v>
      </c>
    </row>
    <row r="18" spans="1:3">
      <c r="A18" s="11" t="s">
        <v>11</v>
      </c>
      <c r="B18" s="11" t="s">
        <v>12</v>
      </c>
      <c r="C18" s="11">
        <v>1</v>
      </c>
    </row>
    <row r="19" spans="1:3">
      <c r="A19" s="11" t="s">
        <v>13</v>
      </c>
      <c r="B19" s="11" t="s">
        <v>14</v>
      </c>
      <c r="C19" s="11">
        <v>1</v>
      </c>
    </row>
    <row r="20" spans="1:3">
      <c r="A20" s="11" t="s">
        <v>2108</v>
      </c>
      <c r="B20" s="11" t="s">
        <v>2109</v>
      </c>
      <c r="C20" s="11">
        <v>1</v>
      </c>
    </row>
    <row r="21" spans="1:3">
      <c r="A21" s="11" t="s">
        <v>15</v>
      </c>
      <c r="B21" s="11" t="s">
        <v>16</v>
      </c>
      <c r="C21" s="11">
        <v>1</v>
      </c>
    </row>
    <row r="22" spans="1:3">
      <c r="A22" s="11" t="s">
        <v>17</v>
      </c>
      <c r="B22" s="11" t="s">
        <v>18</v>
      </c>
      <c r="C22" s="11">
        <v>1</v>
      </c>
    </row>
    <row r="23" spans="1:3">
      <c r="A23" s="11" t="s">
        <v>19</v>
      </c>
      <c r="B23" s="11" t="s">
        <v>20</v>
      </c>
      <c r="C23" s="11">
        <v>1</v>
      </c>
    </row>
    <row r="24" spans="1:3">
      <c r="A24" s="11" t="s">
        <v>21</v>
      </c>
      <c r="B24" s="11" t="s">
        <v>22</v>
      </c>
      <c r="C24" s="11">
        <v>1</v>
      </c>
    </row>
    <row r="25" spans="1:3">
      <c r="A25" s="11" t="s">
        <v>23</v>
      </c>
      <c r="B25" s="11" t="s">
        <v>24</v>
      </c>
      <c r="C25" s="11">
        <v>1</v>
      </c>
    </row>
    <row r="26" spans="1:3">
      <c r="A26" s="11" t="s">
        <v>25</v>
      </c>
      <c r="B26" s="11" t="s">
        <v>26</v>
      </c>
      <c r="C26" s="11">
        <v>1</v>
      </c>
    </row>
    <row r="27" spans="1:3">
      <c r="A27" s="11" t="s">
        <v>2111</v>
      </c>
      <c r="B27" s="11" t="s">
        <v>2112</v>
      </c>
      <c r="C27" s="11">
        <v>1</v>
      </c>
    </row>
    <row r="28" spans="1:3">
      <c r="A28" s="11" t="s">
        <v>27</v>
      </c>
      <c r="B28" s="11" t="s">
        <v>28</v>
      </c>
      <c r="C28" s="11">
        <v>1</v>
      </c>
    </row>
    <row r="29" spans="1:3">
      <c r="A29" s="11" t="s">
        <v>29</v>
      </c>
      <c r="B29" s="11" t="s">
        <v>30</v>
      </c>
      <c r="C29" s="11">
        <v>1</v>
      </c>
    </row>
    <row r="30" spans="1:3">
      <c r="A30" s="11" t="s">
        <v>31</v>
      </c>
      <c r="B30" s="11" t="s">
        <v>32</v>
      </c>
      <c r="C30" s="11">
        <v>1</v>
      </c>
    </row>
    <row r="31" spans="1:3">
      <c r="A31" s="11" t="s">
        <v>33</v>
      </c>
      <c r="B31" s="11" t="s">
        <v>34</v>
      </c>
      <c r="C31" s="11">
        <v>1</v>
      </c>
    </row>
    <row r="32" spans="1:3">
      <c r="A32" s="11" t="s">
        <v>35</v>
      </c>
      <c r="B32" s="11" t="s">
        <v>36</v>
      </c>
      <c r="C32" s="11">
        <v>1</v>
      </c>
    </row>
    <row r="33" spans="1:3">
      <c r="A33" s="11" t="s">
        <v>37</v>
      </c>
      <c r="B33" s="11" t="s">
        <v>38</v>
      </c>
      <c r="C33" s="11">
        <v>1</v>
      </c>
    </row>
    <row r="34" spans="1:3">
      <c r="A34" s="11" t="s">
        <v>39</v>
      </c>
      <c r="B34" s="11" t="s">
        <v>40</v>
      </c>
      <c r="C34" s="11">
        <v>1</v>
      </c>
    </row>
    <row r="35" spans="1:3">
      <c r="A35" s="11" t="s">
        <v>41</v>
      </c>
      <c r="B35" s="11" t="s">
        <v>42</v>
      </c>
      <c r="C35" s="11">
        <v>1</v>
      </c>
    </row>
    <row r="36" spans="1:3">
      <c r="A36" s="11" t="s">
        <v>43</v>
      </c>
      <c r="B36" s="11" t="s">
        <v>44</v>
      </c>
      <c r="C36" s="11">
        <v>1</v>
      </c>
    </row>
    <row r="37" spans="1:3">
      <c r="A37" s="11" t="s">
        <v>2113</v>
      </c>
      <c r="B37" s="11" t="s">
        <v>2114</v>
      </c>
      <c r="C37" s="11">
        <v>1</v>
      </c>
    </row>
    <row r="38" spans="1:3">
      <c r="A38" s="11" t="s">
        <v>45</v>
      </c>
      <c r="B38" s="11" t="s">
        <v>46</v>
      </c>
      <c r="C38" s="11">
        <v>1</v>
      </c>
    </row>
    <row r="39" spans="1:3">
      <c r="A39" s="11" t="s">
        <v>47</v>
      </c>
      <c r="B39" s="11" t="s">
        <v>48</v>
      </c>
      <c r="C39" s="11">
        <v>1</v>
      </c>
    </row>
    <row r="40" spans="1:3">
      <c r="A40" s="11" t="s">
        <v>2115</v>
      </c>
      <c r="B40" s="11" t="s">
        <v>2116</v>
      </c>
      <c r="C40" s="11">
        <v>1</v>
      </c>
    </row>
    <row r="41" spans="1:3">
      <c r="A41" s="11" t="s">
        <v>49</v>
      </c>
      <c r="B41" s="11" t="s">
        <v>50</v>
      </c>
      <c r="C41" s="11">
        <v>1</v>
      </c>
    </row>
    <row r="42" spans="1:3">
      <c r="A42" s="11" t="s">
        <v>51</v>
      </c>
      <c r="B42" s="11" t="s">
        <v>52</v>
      </c>
      <c r="C42" s="11">
        <v>1</v>
      </c>
    </row>
    <row r="43" spans="1:3">
      <c r="A43" s="11" t="s">
        <v>53</v>
      </c>
      <c r="B43" s="11" t="s">
        <v>54</v>
      </c>
      <c r="C43" s="11">
        <v>1</v>
      </c>
    </row>
    <row r="44" spans="1:3">
      <c r="A44" s="11" t="s">
        <v>2117</v>
      </c>
      <c r="B44" s="11" t="s">
        <v>2118</v>
      </c>
      <c r="C44" s="11">
        <v>1</v>
      </c>
    </row>
    <row r="45" spans="1:3">
      <c r="A45" s="11" t="s">
        <v>55</v>
      </c>
      <c r="B45" s="11" t="s">
        <v>56</v>
      </c>
      <c r="C45" s="11">
        <v>1</v>
      </c>
    </row>
    <row r="46" spans="1:3">
      <c r="A46" s="11" t="s">
        <v>57</v>
      </c>
      <c r="B46" s="11" t="s">
        <v>58</v>
      </c>
      <c r="C46" s="11">
        <v>1</v>
      </c>
    </row>
    <row r="47" spans="1:3">
      <c r="A47" s="11" t="s">
        <v>59</v>
      </c>
      <c r="B47" s="11" t="s">
        <v>60</v>
      </c>
      <c r="C47" s="11">
        <v>1</v>
      </c>
    </row>
    <row r="48" spans="1:3">
      <c r="A48" s="11" t="s">
        <v>61</v>
      </c>
      <c r="B48" s="11" t="s">
        <v>62</v>
      </c>
      <c r="C48" s="11">
        <v>1</v>
      </c>
    </row>
    <row r="49" spans="1:5">
      <c r="A49" s="11" t="s">
        <v>63</v>
      </c>
      <c r="B49" s="11" t="s">
        <v>64</v>
      </c>
      <c r="C49" s="11">
        <v>1</v>
      </c>
    </row>
    <row r="50" spans="1:5">
      <c r="A50" s="11" t="s">
        <v>65</v>
      </c>
      <c r="B50" s="11" t="s">
        <v>66</v>
      </c>
      <c r="C50" s="11">
        <v>1</v>
      </c>
    </row>
    <row r="51" spans="1:5">
      <c r="A51" s="11" t="s">
        <v>2119</v>
      </c>
      <c r="B51" s="11" t="s">
        <v>76</v>
      </c>
      <c r="C51" s="11">
        <v>1</v>
      </c>
    </row>
    <row r="52" spans="1:5">
      <c r="A52" s="11" t="s">
        <v>67</v>
      </c>
      <c r="B52" s="11" t="s">
        <v>68</v>
      </c>
      <c r="C52" s="11">
        <v>1</v>
      </c>
    </row>
    <row r="53" spans="1:5">
      <c r="A53" s="11" t="s">
        <v>69</v>
      </c>
      <c r="B53" s="11" t="s">
        <v>70</v>
      </c>
      <c r="C53" s="11">
        <v>1</v>
      </c>
    </row>
    <row r="54" spans="1:5">
      <c r="A54" s="11" t="s">
        <v>71</v>
      </c>
      <c r="B54" s="11" t="s">
        <v>72</v>
      </c>
      <c r="C54" s="11">
        <v>1</v>
      </c>
    </row>
    <row r="55" spans="1:5">
      <c r="A55" s="11" t="s">
        <v>73</v>
      </c>
      <c r="B55" s="11" t="s">
        <v>74</v>
      </c>
      <c r="C55" s="11">
        <v>1</v>
      </c>
    </row>
    <row r="56" spans="1:5">
      <c r="A56" s="11" t="s">
        <v>75</v>
      </c>
      <c r="B56" s="12" t="s">
        <v>2120</v>
      </c>
      <c r="C56" s="11">
        <v>1</v>
      </c>
    </row>
    <row r="57" spans="1:5">
      <c r="A57" s="11" t="s">
        <v>1927</v>
      </c>
      <c r="B57" s="11" t="s">
        <v>1928</v>
      </c>
      <c r="C57" s="11">
        <v>1</v>
      </c>
    </row>
    <row r="58" spans="1:5">
      <c r="A58" s="11" t="s">
        <v>2121</v>
      </c>
      <c r="B58" s="11" t="s">
        <v>2122</v>
      </c>
      <c r="C58" s="11">
        <v>1</v>
      </c>
      <c r="E58" s="13"/>
    </row>
    <row r="59" spans="1:5" s="10" customFormat="1" ht="15">
      <c r="A59" s="11" t="s">
        <v>77</v>
      </c>
      <c r="B59" s="11" t="s">
        <v>78</v>
      </c>
      <c r="C59" s="14">
        <v>1</v>
      </c>
    </row>
    <row r="60" spans="1:5" s="10" customFormat="1" ht="15">
      <c r="A60" s="11" t="s">
        <v>79</v>
      </c>
      <c r="B60" s="11" t="s">
        <v>80</v>
      </c>
      <c r="C60" s="14">
        <v>1</v>
      </c>
    </row>
    <row r="61" spans="1:5">
      <c r="A61" s="11" t="s">
        <v>81</v>
      </c>
      <c r="B61" s="11" t="s">
        <v>82</v>
      </c>
      <c r="C61" s="14">
        <v>1</v>
      </c>
    </row>
    <row r="62" spans="1:5">
      <c r="A62" s="11" t="s">
        <v>83</v>
      </c>
      <c r="B62" s="11" t="s">
        <v>84</v>
      </c>
      <c r="C62" s="14">
        <v>1</v>
      </c>
    </row>
    <row r="63" spans="1:5">
      <c r="A63" s="11" t="s">
        <v>85</v>
      </c>
      <c r="B63" s="11" t="s">
        <v>86</v>
      </c>
      <c r="C63" s="14">
        <v>1</v>
      </c>
    </row>
    <row r="64" spans="1:5">
      <c r="A64" s="11" t="s">
        <v>87</v>
      </c>
      <c r="B64" s="11" t="s">
        <v>88</v>
      </c>
      <c r="C64" s="14">
        <v>1</v>
      </c>
    </row>
    <row r="65" spans="1:3">
      <c r="A65" s="11" t="s">
        <v>89</v>
      </c>
      <c r="B65" s="11" t="s">
        <v>90</v>
      </c>
      <c r="C65" s="14">
        <v>1</v>
      </c>
    </row>
    <row r="66" spans="1:3">
      <c r="A66" s="11" t="s">
        <v>91</v>
      </c>
      <c r="B66" s="11" t="s">
        <v>92</v>
      </c>
      <c r="C66" s="14">
        <v>1</v>
      </c>
    </row>
    <row r="67" spans="1:3">
      <c r="A67" s="11" t="s">
        <v>93</v>
      </c>
      <c r="B67" s="11" t="s">
        <v>94</v>
      </c>
      <c r="C67" s="14">
        <v>1</v>
      </c>
    </row>
    <row r="68" spans="1:3">
      <c r="A68" s="11" t="s">
        <v>2123</v>
      </c>
      <c r="B68" s="11" t="s">
        <v>2124</v>
      </c>
      <c r="C68" s="14">
        <v>1</v>
      </c>
    </row>
    <row r="69" spans="1:3">
      <c r="A69" s="11" t="s">
        <v>95</v>
      </c>
      <c r="B69" s="11" t="s">
        <v>96</v>
      </c>
      <c r="C69" s="14">
        <v>1</v>
      </c>
    </row>
    <row r="70" spans="1:3">
      <c r="A70" s="11" t="s">
        <v>97</v>
      </c>
      <c r="B70" s="11" t="s">
        <v>98</v>
      </c>
      <c r="C70" s="14">
        <v>1</v>
      </c>
    </row>
    <row r="71" spans="1:3">
      <c r="A71" s="11" t="s">
        <v>99</v>
      </c>
      <c r="B71" s="15" t="s">
        <v>100</v>
      </c>
      <c r="C71" s="14">
        <v>1</v>
      </c>
    </row>
    <row r="72" spans="1:3">
      <c r="A72" s="11" t="s">
        <v>101</v>
      </c>
      <c r="B72" s="15" t="s">
        <v>102</v>
      </c>
      <c r="C72" s="14">
        <v>1</v>
      </c>
    </row>
    <row r="73" spans="1:3">
      <c r="A73" s="11" t="s">
        <v>2125</v>
      </c>
      <c r="B73" s="15" t="s">
        <v>2126</v>
      </c>
      <c r="C73" s="14">
        <v>1</v>
      </c>
    </row>
    <row r="74" spans="1:3">
      <c r="A74" s="11" t="s">
        <v>103</v>
      </c>
      <c r="B74" s="15" t="s">
        <v>104</v>
      </c>
      <c r="C74" s="14">
        <v>1</v>
      </c>
    </row>
    <row r="75" spans="1:3" ht="15">
      <c r="A75" s="11" t="s">
        <v>2127</v>
      </c>
      <c r="B75" s="15" t="s">
        <v>2727</v>
      </c>
      <c r="C75" s="16">
        <v>1</v>
      </c>
    </row>
    <row r="76" spans="1:3">
      <c r="A76" s="11" t="s">
        <v>105</v>
      </c>
      <c r="B76" s="15" t="s">
        <v>106</v>
      </c>
      <c r="C76" s="14">
        <v>1</v>
      </c>
    </row>
    <row r="77" spans="1:3" s="10" customFormat="1" ht="15">
      <c r="A77" s="11" t="s">
        <v>107</v>
      </c>
      <c r="B77" s="15" t="s">
        <v>108</v>
      </c>
      <c r="C77" s="14">
        <v>1</v>
      </c>
    </row>
    <row r="78" spans="1:3">
      <c r="A78" s="11" t="s">
        <v>2128</v>
      </c>
      <c r="B78" s="15" t="s">
        <v>2726</v>
      </c>
      <c r="C78" s="14">
        <v>1</v>
      </c>
    </row>
    <row r="79" spans="1:3">
      <c r="A79" s="11" t="s">
        <v>109</v>
      </c>
      <c r="B79" s="15" t="s">
        <v>110</v>
      </c>
      <c r="C79" s="14">
        <v>1</v>
      </c>
    </row>
    <row r="80" spans="1:3">
      <c r="A80" s="11" t="s">
        <v>2129</v>
      </c>
      <c r="B80" s="15" t="s">
        <v>2131</v>
      </c>
      <c r="C80" s="14">
        <v>1</v>
      </c>
    </row>
    <row r="81" spans="1:3">
      <c r="A81" s="11" t="s">
        <v>2130</v>
      </c>
      <c r="B81" s="11" t="s">
        <v>2132</v>
      </c>
      <c r="C81" s="14">
        <v>1</v>
      </c>
    </row>
    <row r="82" spans="1:3">
      <c r="A82" s="11" t="s">
        <v>111</v>
      </c>
      <c r="B82" s="11" t="s">
        <v>112</v>
      </c>
      <c r="C82" s="14">
        <v>1</v>
      </c>
    </row>
    <row r="83" spans="1:3">
      <c r="A83" s="11" t="s">
        <v>113</v>
      </c>
      <c r="B83" s="11" t="s">
        <v>114</v>
      </c>
      <c r="C83" s="14">
        <v>1</v>
      </c>
    </row>
    <row r="84" spans="1:3">
      <c r="A84" s="11" t="s">
        <v>115</v>
      </c>
      <c r="B84" s="11" t="s">
        <v>116</v>
      </c>
      <c r="C84" s="14">
        <v>1</v>
      </c>
    </row>
    <row r="85" spans="1:3">
      <c r="A85" s="11" t="s">
        <v>117</v>
      </c>
      <c r="B85" s="11" t="s">
        <v>118</v>
      </c>
      <c r="C85" s="14">
        <v>1</v>
      </c>
    </row>
    <row r="86" spans="1:3">
      <c r="A86" s="11" t="s">
        <v>119</v>
      </c>
      <c r="B86" s="11" t="s">
        <v>120</v>
      </c>
      <c r="C86" s="14">
        <v>1</v>
      </c>
    </row>
    <row r="87" spans="1:3">
      <c r="A87" s="11" t="s">
        <v>2133</v>
      </c>
      <c r="B87" s="11" t="s">
        <v>2134</v>
      </c>
      <c r="C87" s="14">
        <v>1</v>
      </c>
    </row>
    <row r="88" spans="1:3">
      <c r="A88" s="11" t="s">
        <v>121</v>
      </c>
      <c r="B88" s="11" t="s">
        <v>122</v>
      </c>
      <c r="C88" s="14">
        <v>1</v>
      </c>
    </row>
    <row r="89" spans="1:3">
      <c r="A89" s="11" t="s">
        <v>2135</v>
      </c>
      <c r="B89" s="11" t="s">
        <v>2136</v>
      </c>
      <c r="C89" s="14">
        <v>1</v>
      </c>
    </row>
    <row r="90" spans="1:3">
      <c r="A90" s="11" t="s">
        <v>123</v>
      </c>
      <c r="B90" s="11" t="s">
        <v>124</v>
      </c>
      <c r="C90" s="14">
        <v>1</v>
      </c>
    </row>
    <row r="91" spans="1:3">
      <c r="A91" s="11" t="s">
        <v>125</v>
      </c>
      <c r="B91" s="11" t="s">
        <v>126</v>
      </c>
      <c r="C91" s="14">
        <v>1</v>
      </c>
    </row>
    <row r="92" spans="1:3">
      <c r="A92" s="11" t="s">
        <v>127</v>
      </c>
      <c r="B92" s="11" t="s">
        <v>128</v>
      </c>
      <c r="C92" s="14">
        <v>1</v>
      </c>
    </row>
    <row r="93" spans="1:3">
      <c r="A93" s="11" t="s">
        <v>129</v>
      </c>
      <c r="B93" s="11" t="s">
        <v>130</v>
      </c>
      <c r="C93" s="14">
        <v>1</v>
      </c>
    </row>
    <row r="94" spans="1:3">
      <c r="A94" s="11" t="s">
        <v>131</v>
      </c>
      <c r="B94" s="11" t="s">
        <v>132</v>
      </c>
      <c r="C94" s="14">
        <v>1</v>
      </c>
    </row>
    <row r="95" spans="1:3">
      <c r="A95" s="11" t="s">
        <v>2137</v>
      </c>
      <c r="B95" s="11" t="s">
        <v>2138</v>
      </c>
      <c r="C95" s="14">
        <v>1</v>
      </c>
    </row>
    <row r="96" spans="1:3">
      <c r="A96" s="11" t="s">
        <v>133</v>
      </c>
      <c r="B96" s="11" t="s">
        <v>134</v>
      </c>
      <c r="C96" s="14">
        <v>1</v>
      </c>
    </row>
    <row r="97" spans="1:3">
      <c r="A97" s="11" t="s">
        <v>135</v>
      </c>
      <c r="B97" s="11" t="s">
        <v>136</v>
      </c>
      <c r="C97" s="14">
        <v>1</v>
      </c>
    </row>
    <row r="98" spans="1:3">
      <c r="A98" s="11" t="s">
        <v>137</v>
      </c>
      <c r="B98" s="11" t="s">
        <v>138</v>
      </c>
      <c r="C98" s="14">
        <v>1</v>
      </c>
    </row>
    <row r="99" spans="1:3">
      <c r="A99" s="11" t="s">
        <v>139</v>
      </c>
      <c r="B99" s="11" t="s">
        <v>140</v>
      </c>
      <c r="C99" s="14">
        <v>1</v>
      </c>
    </row>
    <row r="100" spans="1:3">
      <c r="A100" s="11" t="s">
        <v>141</v>
      </c>
      <c r="B100" s="11" t="s">
        <v>142</v>
      </c>
      <c r="C100" s="14">
        <v>1</v>
      </c>
    </row>
    <row r="101" spans="1:3">
      <c r="A101" s="11" t="s">
        <v>143</v>
      </c>
      <c r="B101" s="11" t="s">
        <v>144</v>
      </c>
      <c r="C101" s="14">
        <v>1</v>
      </c>
    </row>
    <row r="102" spans="1:3">
      <c r="A102" s="11" t="s">
        <v>145</v>
      </c>
      <c r="B102" s="11" t="s">
        <v>146</v>
      </c>
      <c r="C102" s="14">
        <v>1</v>
      </c>
    </row>
    <row r="103" spans="1:3">
      <c r="A103" s="11" t="s">
        <v>2139</v>
      </c>
      <c r="B103" s="11" t="s">
        <v>2140</v>
      </c>
      <c r="C103" s="14">
        <v>1</v>
      </c>
    </row>
    <row r="104" spans="1:3">
      <c r="A104" s="11" t="s">
        <v>2737</v>
      </c>
      <c r="B104" s="11" t="s">
        <v>147</v>
      </c>
      <c r="C104" s="14">
        <v>1</v>
      </c>
    </row>
    <row r="105" spans="1:3">
      <c r="A105" s="11" t="s">
        <v>2729</v>
      </c>
      <c r="B105" s="11" t="s">
        <v>158</v>
      </c>
      <c r="C105" s="14">
        <v>1</v>
      </c>
    </row>
    <row r="106" spans="1:3">
      <c r="A106" s="11" t="s">
        <v>2730</v>
      </c>
      <c r="B106" s="11" t="s">
        <v>159</v>
      </c>
      <c r="C106" s="14">
        <v>1</v>
      </c>
    </row>
    <row r="107" spans="1:3">
      <c r="A107" s="11" t="s">
        <v>2731</v>
      </c>
      <c r="B107" s="11" t="s">
        <v>160</v>
      </c>
      <c r="C107" s="14">
        <v>1</v>
      </c>
    </row>
    <row r="108" spans="1:3">
      <c r="A108" s="11" t="s">
        <v>2732</v>
      </c>
      <c r="B108" s="11" t="s">
        <v>161</v>
      </c>
      <c r="C108" s="14">
        <v>1</v>
      </c>
    </row>
    <row r="109" spans="1:3">
      <c r="A109" s="11" t="s">
        <v>2733</v>
      </c>
      <c r="B109" s="11" t="s">
        <v>162</v>
      </c>
      <c r="C109" s="14">
        <v>1</v>
      </c>
    </row>
    <row r="110" spans="1:3">
      <c r="A110" s="11" t="s">
        <v>2734</v>
      </c>
      <c r="B110" s="11" t="s">
        <v>163</v>
      </c>
      <c r="C110" s="14">
        <v>1</v>
      </c>
    </row>
    <row r="111" spans="1:3">
      <c r="A111" s="11" t="s">
        <v>2735</v>
      </c>
      <c r="B111" s="11" t="s">
        <v>164</v>
      </c>
      <c r="C111" s="14">
        <v>1</v>
      </c>
    </row>
    <row r="112" spans="1:3">
      <c r="A112" s="11" t="s">
        <v>2736</v>
      </c>
      <c r="B112" s="11" t="s">
        <v>165</v>
      </c>
      <c r="C112" s="14">
        <v>1</v>
      </c>
    </row>
    <row r="113" spans="1:3">
      <c r="A113" s="11" t="s">
        <v>148</v>
      </c>
      <c r="B113" s="11" t="s">
        <v>149</v>
      </c>
      <c r="C113" s="14">
        <v>1</v>
      </c>
    </row>
    <row r="114" spans="1:3">
      <c r="A114" s="11" t="s">
        <v>150</v>
      </c>
      <c r="B114" s="11" t="s">
        <v>151</v>
      </c>
      <c r="C114" s="14">
        <v>1</v>
      </c>
    </row>
    <row r="115" spans="1:3">
      <c r="A115" s="11" t="s">
        <v>152</v>
      </c>
      <c r="B115" s="11" t="s">
        <v>153</v>
      </c>
      <c r="C115" s="14">
        <v>1</v>
      </c>
    </row>
    <row r="116" spans="1:3">
      <c r="A116" s="11" t="s">
        <v>154</v>
      </c>
      <c r="B116" s="11" t="s">
        <v>155</v>
      </c>
      <c r="C116" s="14">
        <v>1</v>
      </c>
    </row>
    <row r="117" spans="1:3">
      <c r="A117" s="11" t="s">
        <v>156</v>
      </c>
      <c r="B117" s="11" t="s">
        <v>157</v>
      </c>
      <c r="C117" s="14">
        <v>1</v>
      </c>
    </row>
    <row r="118" spans="1:3">
      <c r="A118" s="11" t="s">
        <v>1929</v>
      </c>
      <c r="B118" s="11" t="s">
        <v>2142</v>
      </c>
      <c r="C118" s="14">
        <v>1</v>
      </c>
    </row>
    <row r="119" spans="1:3">
      <c r="A119" s="11" t="s">
        <v>2141</v>
      </c>
      <c r="B119" s="11" t="s">
        <v>2143</v>
      </c>
      <c r="C119" s="14">
        <v>1</v>
      </c>
    </row>
    <row r="120" spans="1:3" s="10" customFormat="1" ht="15">
      <c r="A120" s="11" t="s">
        <v>166</v>
      </c>
      <c r="B120" s="11" t="s">
        <v>167</v>
      </c>
      <c r="C120" s="14">
        <v>1</v>
      </c>
    </row>
    <row r="121" spans="1:3" s="10" customFormat="1" ht="15">
      <c r="A121" s="11" t="s">
        <v>168</v>
      </c>
      <c r="B121" s="11" t="s">
        <v>169</v>
      </c>
      <c r="C121" s="14">
        <v>1</v>
      </c>
    </row>
    <row r="122" spans="1:3">
      <c r="A122" s="11" t="s">
        <v>170</v>
      </c>
      <c r="B122" s="11" t="s">
        <v>171</v>
      </c>
      <c r="C122" s="14">
        <v>1</v>
      </c>
    </row>
    <row r="123" spans="1:3">
      <c r="A123" s="11" t="s">
        <v>172</v>
      </c>
      <c r="B123" s="11" t="s">
        <v>173</v>
      </c>
      <c r="C123" s="14">
        <v>1</v>
      </c>
    </row>
    <row r="124" spans="1:3">
      <c r="A124" s="11" t="s">
        <v>174</v>
      </c>
      <c r="B124" s="11" t="s">
        <v>175</v>
      </c>
      <c r="C124" s="14">
        <v>1</v>
      </c>
    </row>
    <row r="125" spans="1:3">
      <c r="A125" s="11" t="s">
        <v>176</v>
      </c>
      <c r="B125" s="11" t="s">
        <v>177</v>
      </c>
      <c r="C125" s="14">
        <v>1</v>
      </c>
    </row>
    <row r="126" spans="1:3">
      <c r="A126" s="11" t="s">
        <v>2144</v>
      </c>
      <c r="B126" s="11" t="s">
        <v>2145</v>
      </c>
      <c r="C126" s="14">
        <v>1</v>
      </c>
    </row>
    <row r="127" spans="1:3">
      <c r="A127" s="11" t="s">
        <v>178</v>
      </c>
      <c r="B127" s="11" t="s">
        <v>179</v>
      </c>
      <c r="C127" s="14">
        <v>1</v>
      </c>
    </row>
    <row r="128" spans="1:3">
      <c r="A128" s="11" t="s">
        <v>180</v>
      </c>
      <c r="B128" s="11" t="s">
        <v>181</v>
      </c>
      <c r="C128" s="14">
        <v>1</v>
      </c>
    </row>
    <row r="129" spans="1:3">
      <c r="A129" s="11" t="s">
        <v>182</v>
      </c>
      <c r="B129" s="11" t="s">
        <v>183</v>
      </c>
      <c r="C129" s="14">
        <v>1</v>
      </c>
    </row>
    <row r="130" spans="1:3">
      <c r="A130" s="11" t="s">
        <v>2146</v>
      </c>
      <c r="B130" s="11" t="s">
        <v>2147</v>
      </c>
      <c r="C130" s="14">
        <v>1</v>
      </c>
    </row>
    <row r="131" spans="1:3">
      <c r="A131" s="11" t="s">
        <v>184</v>
      </c>
      <c r="B131" s="11" t="s">
        <v>185</v>
      </c>
      <c r="C131" s="14">
        <v>1</v>
      </c>
    </row>
    <row r="132" spans="1:3">
      <c r="A132" s="11" t="s">
        <v>2148</v>
      </c>
      <c r="B132" s="11" t="s">
        <v>2149</v>
      </c>
      <c r="C132" s="14">
        <v>1</v>
      </c>
    </row>
    <row r="133" spans="1:3">
      <c r="A133" s="11" t="s">
        <v>186</v>
      </c>
      <c r="B133" s="11" t="s">
        <v>187</v>
      </c>
      <c r="C133" s="14">
        <v>1</v>
      </c>
    </row>
    <row r="134" spans="1:3">
      <c r="A134" s="11" t="s">
        <v>2150</v>
      </c>
      <c r="B134" s="11" t="s">
        <v>2151</v>
      </c>
      <c r="C134" s="14">
        <v>1</v>
      </c>
    </row>
    <row r="135" spans="1:3">
      <c r="A135" s="11" t="s">
        <v>188</v>
      </c>
      <c r="B135" s="11" t="s">
        <v>189</v>
      </c>
      <c r="C135" s="14">
        <v>1</v>
      </c>
    </row>
    <row r="136" spans="1:3">
      <c r="A136" s="11" t="s">
        <v>190</v>
      </c>
      <c r="B136" s="11" t="s">
        <v>191</v>
      </c>
      <c r="C136" s="14">
        <v>1</v>
      </c>
    </row>
    <row r="137" spans="1:3">
      <c r="A137" s="11" t="s">
        <v>192</v>
      </c>
      <c r="B137" s="11" t="s">
        <v>193</v>
      </c>
      <c r="C137" s="14">
        <v>1</v>
      </c>
    </row>
    <row r="138" spans="1:3">
      <c r="A138" s="11" t="s">
        <v>2152</v>
      </c>
      <c r="B138" s="11" t="s">
        <v>2153</v>
      </c>
      <c r="C138" s="14">
        <v>1</v>
      </c>
    </row>
    <row r="139" spans="1:3">
      <c r="A139" s="11" t="s">
        <v>194</v>
      </c>
      <c r="B139" s="11" t="s">
        <v>195</v>
      </c>
      <c r="C139" s="14">
        <v>1</v>
      </c>
    </row>
    <row r="140" spans="1:3">
      <c r="A140" s="11" t="s">
        <v>196</v>
      </c>
      <c r="B140" s="11" t="s">
        <v>197</v>
      </c>
      <c r="C140" s="14">
        <v>1</v>
      </c>
    </row>
    <row r="141" spans="1:3">
      <c r="A141" s="11" t="s">
        <v>198</v>
      </c>
      <c r="B141" s="11" t="s">
        <v>199</v>
      </c>
      <c r="C141" s="14">
        <v>1</v>
      </c>
    </row>
    <row r="142" spans="1:3">
      <c r="A142" s="11" t="s">
        <v>200</v>
      </c>
      <c r="B142" s="11" t="s">
        <v>201</v>
      </c>
      <c r="C142" s="14">
        <v>1</v>
      </c>
    </row>
    <row r="143" spans="1:3">
      <c r="A143" s="11" t="s">
        <v>202</v>
      </c>
      <c r="B143" s="11" t="s">
        <v>203</v>
      </c>
      <c r="C143" s="14">
        <v>1</v>
      </c>
    </row>
    <row r="144" spans="1:3">
      <c r="A144" s="11" t="s">
        <v>1930</v>
      </c>
      <c r="B144" s="11" t="s">
        <v>1931</v>
      </c>
      <c r="C144" s="14">
        <v>1</v>
      </c>
    </row>
    <row r="145" spans="1:3">
      <c r="A145" s="11" t="s">
        <v>2154</v>
      </c>
      <c r="B145" s="11" t="s">
        <v>2157</v>
      </c>
      <c r="C145" s="14">
        <v>1</v>
      </c>
    </row>
    <row r="146" spans="1:3">
      <c r="A146" s="11" t="s">
        <v>204</v>
      </c>
      <c r="B146" s="11" t="s">
        <v>205</v>
      </c>
      <c r="C146" s="14">
        <v>1</v>
      </c>
    </row>
    <row r="147" spans="1:3">
      <c r="A147" s="11" t="s">
        <v>206</v>
      </c>
      <c r="B147" s="11" t="s">
        <v>207</v>
      </c>
      <c r="C147" s="14">
        <v>1</v>
      </c>
    </row>
    <row r="148" spans="1:3">
      <c r="A148" s="11" t="s">
        <v>208</v>
      </c>
      <c r="B148" s="11" t="s">
        <v>209</v>
      </c>
      <c r="C148" s="14">
        <v>1</v>
      </c>
    </row>
    <row r="149" spans="1:3">
      <c r="A149" s="11" t="s">
        <v>2155</v>
      </c>
      <c r="B149" s="11" t="s">
        <v>2156</v>
      </c>
      <c r="C149" s="14">
        <v>1</v>
      </c>
    </row>
    <row r="150" spans="1:3">
      <c r="A150" s="11" t="s">
        <v>210</v>
      </c>
      <c r="B150" s="11" t="s">
        <v>211</v>
      </c>
      <c r="C150" s="14">
        <v>1</v>
      </c>
    </row>
    <row r="151" spans="1:3">
      <c r="A151" s="11" t="s">
        <v>212</v>
      </c>
      <c r="B151" s="11" t="s">
        <v>213</v>
      </c>
      <c r="C151" s="14">
        <v>1</v>
      </c>
    </row>
    <row r="152" spans="1:3">
      <c r="A152" s="11" t="s">
        <v>2158</v>
      </c>
      <c r="B152" s="11" t="s">
        <v>2159</v>
      </c>
      <c r="C152" s="14">
        <v>1</v>
      </c>
    </row>
    <row r="153" spans="1:3">
      <c r="A153" s="11" t="s">
        <v>214</v>
      </c>
      <c r="B153" s="11" t="s">
        <v>215</v>
      </c>
      <c r="C153" s="14">
        <v>1</v>
      </c>
    </row>
    <row r="154" spans="1:3">
      <c r="A154" s="11" t="s">
        <v>216</v>
      </c>
      <c r="B154" s="11" t="s">
        <v>217</v>
      </c>
      <c r="C154" s="14">
        <v>1</v>
      </c>
    </row>
    <row r="155" spans="1:3">
      <c r="A155" s="11" t="s">
        <v>218</v>
      </c>
      <c r="B155" s="11" t="s">
        <v>219</v>
      </c>
      <c r="C155" s="14">
        <v>1</v>
      </c>
    </row>
    <row r="156" spans="1:3">
      <c r="A156" s="11" t="s">
        <v>220</v>
      </c>
      <c r="B156" s="11" t="s">
        <v>221</v>
      </c>
      <c r="C156" s="14">
        <v>1</v>
      </c>
    </row>
    <row r="157" spans="1:3">
      <c r="A157" s="11" t="s">
        <v>222</v>
      </c>
      <c r="B157" s="11" t="s">
        <v>223</v>
      </c>
      <c r="C157" s="14">
        <v>1</v>
      </c>
    </row>
    <row r="158" spans="1:3">
      <c r="A158" s="11" t="s">
        <v>2160</v>
      </c>
      <c r="B158" s="11" t="s">
        <v>229</v>
      </c>
      <c r="C158" s="14">
        <v>1</v>
      </c>
    </row>
    <row r="159" spans="1:3">
      <c r="A159" s="11" t="s">
        <v>224</v>
      </c>
      <c r="B159" s="11" t="s">
        <v>225</v>
      </c>
      <c r="C159" s="14">
        <v>1</v>
      </c>
    </row>
    <row r="160" spans="1:3">
      <c r="A160" s="11" t="s">
        <v>226</v>
      </c>
      <c r="B160" s="11" t="s">
        <v>227</v>
      </c>
      <c r="C160" s="14">
        <v>1</v>
      </c>
    </row>
    <row r="161" spans="1:13">
      <c r="A161" s="11" t="s">
        <v>228</v>
      </c>
      <c r="B161" s="11" t="s">
        <v>229</v>
      </c>
      <c r="C161" s="14">
        <v>1</v>
      </c>
    </row>
    <row r="162" spans="1:13">
      <c r="A162" s="11" t="s">
        <v>230</v>
      </c>
      <c r="B162" s="11" t="s">
        <v>231</v>
      </c>
      <c r="C162" s="14">
        <v>1</v>
      </c>
    </row>
    <row r="163" spans="1:13">
      <c r="A163" s="11" t="s">
        <v>2161</v>
      </c>
      <c r="B163" s="11" t="s">
        <v>2162</v>
      </c>
      <c r="C163" s="14">
        <v>1</v>
      </c>
    </row>
    <row r="164" spans="1:13">
      <c r="A164" s="4" t="s">
        <v>232</v>
      </c>
      <c r="B164" s="4" t="s">
        <v>2892</v>
      </c>
      <c r="C164" s="17">
        <v>1</v>
      </c>
      <c r="D164" s="18">
        <v>42292</v>
      </c>
      <c r="E164" s="19" t="s">
        <v>232</v>
      </c>
      <c r="F164" s="19" t="s">
        <v>2895</v>
      </c>
      <c r="G164" s="19"/>
      <c r="H164" s="19"/>
      <c r="I164" s="19"/>
      <c r="J164" s="19"/>
      <c r="K164" s="19"/>
      <c r="L164" s="19"/>
      <c r="M164" s="19"/>
    </row>
    <row r="165" spans="1:13">
      <c r="A165" s="11" t="s">
        <v>2163</v>
      </c>
      <c r="B165" s="11" t="s">
        <v>2164</v>
      </c>
      <c r="C165" s="14">
        <v>1</v>
      </c>
    </row>
    <row r="166" spans="1:13">
      <c r="A166" s="11" t="s">
        <v>233</v>
      </c>
      <c r="B166" s="11" t="s">
        <v>234</v>
      </c>
      <c r="C166" s="14">
        <v>1</v>
      </c>
    </row>
    <row r="167" spans="1:13">
      <c r="A167" s="11" t="s">
        <v>235</v>
      </c>
      <c r="B167" s="11" t="s">
        <v>236</v>
      </c>
      <c r="C167" s="14">
        <v>1</v>
      </c>
    </row>
    <row r="168" spans="1:13">
      <c r="A168" s="11" t="s">
        <v>237</v>
      </c>
      <c r="B168" s="11" t="s">
        <v>238</v>
      </c>
      <c r="C168" s="14">
        <v>1</v>
      </c>
    </row>
    <row r="169" spans="1:13">
      <c r="A169" s="11" t="s">
        <v>239</v>
      </c>
      <c r="B169" s="11" t="s">
        <v>240</v>
      </c>
      <c r="C169" s="14">
        <v>1</v>
      </c>
    </row>
    <row r="170" spans="1:13">
      <c r="A170" s="11" t="s">
        <v>241</v>
      </c>
      <c r="B170" s="11" t="s">
        <v>242</v>
      </c>
      <c r="C170" s="14">
        <v>1</v>
      </c>
    </row>
    <row r="171" spans="1:13">
      <c r="A171" s="4" t="s">
        <v>243</v>
      </c>
      <c r="B171" s="4" t="s">
        <v>2893</v>
      </c>
      <c r="C171" s="17">
        <v>1</v>
      </c>
      <c r="D171" s="18">
        <v>42292</v>
      </c>
      <c r="E171" s="19" t="s">
        <v>243</v>
      </c>
      <c r="F171" s="19" t="s">
        <v>2896</v>
      </c>
    </row>
    <row r="172" spans="1:13">
      <c r="A172" s="11" t="s">
        <v>2165</v>
      </c>
      <c r="B172" s="11" t="s">
        <v>2166</v>
      </c>
      <c r="C172" s="14">
        <v>1</v>
      </c>
    </row>
    <row r="173" spans="1:13">
      <c r="A173" s="11" t="s">
        <v>244</v>
      </c>
      <c r="B173" s="11" t="s">
        <v>245</v>
      </c>
      <c r="C173" s="14">
        <v>1</v>
      </c>
    </row>
    <row r="174" spans="1:13">
      <c r="A174" s="11" t="s">
        <v>246</v>
      </c>
      <c r="B174" s="11" t="s">
        <v>247</v>
      </c>
      <c r="C174" s="14">
        <v>1</v>
      </c>
    </row>
    <row r="175" spans="1:13">
      <c r="A175" s="11" t="s">
        <v>2834</v>
      </c>
      <c r="B175" s="11" t="s">
        <v>2832</v>
      </c>
      <c r="C175" s="14">
        <v>1</v>
      </c>
    </row>
    <row r="176" spans="1:13">
      <c r="A176" s="11" t="s">
        <v>2835</v>
      </c>
      <c r="B176" s="11" t="s">
        <v>2833</v>
      </c>
      <c r="C176" s="14">
        <v>1</v>
      </c>
    </row>
    <row r="177" spans="1:4">
      <c r="A177" s="11" t="s">
        <v>248</v>
      </c>
      <c r="B177" s="11" t="s">
        <v>249</v>
      </c>
      <c r="C177" s="14">
        <v>1</v>
      </c>
    </row>
    <row r="178" spans="1:4">
      <c r="A178" s="11" t="s">
        <v>2167</v>
      </c>
      <c r="B178" s="11" t="s">
        <v>251</v>
      </c>
      <c r="C178" s="14">
        <v>1</v>
      </c>
    </row>
    <row r="179" spans="1:4">
      <c r="A179" s="11" t="s">
        <v>250</v>
      </c>
      <c r="B179" s="11" t="s">
        <v>251</v>
      </c>
      <c r="C179" s="14">
        <v>1</v>
      </c>
    </row>
    <row r="180" spans="1:4">
      <c r="A180" s="11" t="s">
        <v>1932</v>
      </c>
      <c r="B180" s="11" t="s">
        <v>1933</v>
      </c>
      <c r="C180" s="14">
        <v>1</v>
      </c>
      <c r="D180" s="15"/>
    </row>
    <row r="181" spans="1:4">
      <c r="A181" s="11" t="s">
        <v>2168</v>
      </c>
      <c r="B181" s="11" t="s">
        <v>253</v>
      </c>
      <c r="C181" s="14">
        <v>1</v>
      </c>
    </row>
    <row r="182" spans="1:4">
      <c r="A182" s="11" t="s">
        <v>252</v>
      </c>
      <c r="B182" s="11" t="s">
        <v>2738</v>
      </c>
      <c r="C182" s="14">
        <v>1</v>
      </c>
    </row>
    <row r="183" spans="1:4">
      <c r="A183" s="11" t="s">
        <v>254</v>
      </c>
      <c r="B183" s="11" t="s">
        <v>255</v>
      </c>
      <c r="C183" s="14">
        <v>1</v>
      </c>
    </row>
    <row r="184" spans="1:4">
      <c r="A184" s="11" t="s">
        <v>256</v>
      </c>
      <c r="B184" s="11" t="s">
        <v>257</v>
      </c>
      <c r="C184" s="14">
        <v>1</v>
      </c>
    </row>
    <row r="185" spans="1:4">
      <c r="A185" s="11" t="s">
        <v>2169</v>
      </c>
      <c r="B185" s="11" t="s">
        <v>2170</v>
      </c>
      <c r="C185" s="14">
        <v>1</v>
      </c>
    </row>
    <row r="186" spans="1:4">
      <c r="A186" s="11" t="s">
        <v>258</v>
      </c>
      <c r="B186" s="11" t="s">
        <v>259</v>
      </c>
      <c r="C186" s="14">
        <v>1</v>
      </c>
    </row>
    <row r="187" spans="1:4">
      <c r="A187" s="15" t="s">
        <v>260</v>
      </c>
      <c r="B187" s="15" t="s">
        <v>261</v>
      </c>
      <c r="C187" s="14">
        <v>1</v>
      </c>
    </row>
    <row r="188" spans="1:4">
      <c r="A188" s="15" t="s">
        <v>2171</v>
      </c>
      <c r="B188" s="15" t="s">
        <v>2589</v>
      </c>
      <c r="C188" s="14">
        <v>1</v>
      </c>
    </row>
    <row r="189" spans="1:4">
      <c r="A189" s="11" t="s">
        <v>262</v>
      </c>
      <c r="B189" s="11" t="s">
        <v>263</v>
      </c>
      <c r="C189" s="14">
        <v>1</v>
      </c>
    </row>
    <row r="190" spans="1:4">
      <c r="A190" s="11" t="s">
        <v>264</v>
      </c>
      <c r="B190" s="11" t="s">
        <v>265</v>
      </c>
      <c r="C190" s="14">
        <v>1</v>
      </c>
    </row>
    <row r="191" spans="1:4">
      <c r="A191" s="11" t="s">
        <v>266</v>
      </c>
      <c r="B191" s="11" t="s">
        <v>267</v>
      </c>
      <c r="C191" s="14">
        <v>1</v>
      </c>
    </row>
    <row r="192" spans="1:4">
      <c r="A192" s="11" t="s">
        <v>268</v>
      </c>
      <c r="B192" s="11" t="s">
        <v>269</v>
      </c>
      <c r="C192" s="14">
        <v>1</v>
      </c>
    </row>
    <row r="193" spans="1:3">
      <c r="A193" s="11" t="s">
        <v>2172</v>
      </c>
      <c r="B193" s="11" t="s">
        <v>2173</v>
      </c>
      <c r="C193" s="14">
        <v>1</v>
      </c>
    </row>
    <row r="194" spans="1:3">
      <c r="A194" s="11" t="s">
        <v>270</v>
      </c>
      <c r="B194" s="11" t="s">
        <v>271</v>
      </c>
      <c r="C194" s="14">
        <v>1</v>
      </c>
    </row>
    <row r="195" spans="1:3">
      <c r="A195" s="11" t="s">
        <v>272</v>
      </c>
      <c r="B195" s="11" t="s">
        <v>273</v>
      </c>
      <c r="C195" s="14">
        <v>1</v>
      </c>
    </row>
    <row r="196" spans="1:3">
      <c r="A196" s="11" t="s">
        <v>1934</v>
      </c>
      <c r="B196" s="11" t="s">
        <v>1935</v>
      </c>
      <c r="C196" s="14">
        <v>1</v>
      </c>
    </row>
    <row r="197" spans="1:3">
      <c r="A197" s="11" t="s">
        <v>2174</v>
      </c>
      <c r="B197" s="11" t="s">
        <v>2177</v>
      </c>
      <c r="C197" s="14">
        <v>1</v>
      </c>
    </row>
    <row r="198" spans="1:3">
      <c r="A198" s="11" t="s">
        <v>2815</v>
      </c>
      <c r="B198" s="11" t="s">
        <v>284</v>
      </c>
      <c r="C198" s="14">
        <v>1</v>
      </c>
    </row>
    <row r="199" spans="1:3">
      <c r="A199" s="11" t="s">
        <v>2816</v>
      </c>
      <c r="B199" s="11" t="s">
        <v>285</v>
      </c>
      <c r="C199" s="14">
        <v>1</v>
      </c>
    </row>
    <row r="200" spans="1:3">
      <c r="A200" s="11" t="s">
        <v>2817</v>
      </c>
      <c r="B200" s="11" t="s">
        <v>286</v>
      </c>
      <c r="C200" s="14">
        <v>1</v>
      </c>
    </row>
    <row r="201" spans="1:3">
      <c r="A201" s="11" t="s">
        <v>2818</v>
      </c>
      <c r="B201" s="11" t="s">
        <v>287</v>
      </c>
      <c r="C201" s="14">
        <v>1</v>
      </c>
    </row>
    <row r="202" spans="1:3">
      <c r="A202" s="11" t="s">
        <v>2819</v>
      </c>
      <c r="B202" s="11" t="s">
        <v>288</v>
      </c>
      <c r="C202" s="14">
        <v>1</v>
      </c>
    </row>
    <row r="203" spans="1:3">
      <c r="A203" s="11" t="s">
        <v>2820</v>
      </c>
      <c r="B203" s="11" t="s">
        <v>289</v>
      </c>
      <c r="C203" s="14">
        <v>1</v>
      </c>
    </row>
    <row r="204" spans="1:3">
      <c r="A204" s="11" t="s">
        <v>2821</v>
      </c>
      <c r="B204" s="11" t="s">
        <v>290</v>
      </c>
      <c r="C204" s="14">
        <v>1</v>
      </c>
    </row>
    <row r="205" spans="1:3">
      <c r="A205" s="11" t="s">
        <v>2822</v>
      </c>
      <c r="B205" s="11" t="s">
        <v>291</v>
      </c>
      <c r="C205" s="14">
        <v>1</v>
      </c>
    </row>
    <row r="206" spans="1:3">
      <c r="A206" s="11" t="s">
        <v>2175</v>
      </c>
      <c r="B206" s="11" t="s">
        <v>2176</v>
      </c>
      <c r="C206" s="14">
        <v>1</v>
      </c>
    </row>
    <row r="207" spans="1:3">
      <c r="A207" s="11" t="s">
        <v>274</v>
      </c>
      <c r="B207" s="11" t="s">
        <v>275</v>
      </c>
      <c r="C207" s="14">
        <v>1</v>
      </c>
    </row>
    <row r="208" spans="1:3">
      <c r="A208" s="11" t="s">
        <v>276</v>
      </c>
      <c r="B208" s="11" t="s">
        <v>277</v>
      </c>
      <c r="C208" s="14">
        <v>1</v>
      </c>
    </row>
    <row r="209" spans="1:3">
      <c r="A209" s="11" t="s">
        <v>278</v>
      </c>
      <c r="B209" s="11" t="s">
        <v>279</v>
      </c>
      <c r="C209" s="14">
        <v>1</v>
      </c>
    </row>
    <row r="210" spans="1:3">
      <c r="A210" s="11" t="s">
        <v>280</v>
      </c>
      <c r="B210" s="11" t="s">
        <v>281</v>
      </c>
      <c r="C210" s="14">
        <v>1</v>
      </c>
    </row>
    <row r="211" spans="1:3">
      <c r="A211" s="11" t="s">
        <v>282</v>
      </c>
      <c r="B211" s="11" t="s">
        <v>283</v>
      </c>
      <c r="C211" s="14">
        <v>1</v>
      </c>
    </row>
    <row r="212" spans="1:3">
      <c r="A212" s="11" t="s">
        <v>292</v>
      </c>
      <c r="B212" s="11" t="s">
        <v>293</v>
      </c>
      <c r="C212" s="14">
        <v>1</v>
      </c>
    </row>
    <row r="213" spans="1:3">
      <c r="A213" s="11" t="s">
        <v>2178</v>
      </c>
      <c r="B213" s="11" t="s">
        <v>2179</v>
      </c>
      <c r="C213" s="14">
        <v>1</v>
      </c>
    </row>
    <row r="214" spans="1:3">
      <c r="A214" s="11" t="s">
        <v>294</v>
      </c>
      <c r="B214" s="11" t="s">
        <v>295</v>
      </c>
      <c r="C214" s="14">
        <v>1</v>
      </c>
    </row>
    <row r="215" spans="1:3">
      <c r="A215" s="11" t="s">
        <v>296</v>
      </c>
      <c r="B215" s="11" t="s">
        <v>297</v>
      </c>
      <c r="C215" s="14">
        <v>1</v>
      </c>
    </row>
    <row r="216" spans="1:3">
      <c r="A216" s="11" t="s">
        <v>2180</v>
      </c>
      <c r="B216" s="11" t="s">
        <v>2181</v>
      </c>
      <c r="C216" s="14">
        <v>1</v>
      </c>
    </row>
    <row r="217" spans="1:3">
      <c r="A217" s="11" t="s">
        <v>298</v>
      </c>
      <c r="B217" s="11" t="s">
        <v>299</v>
      </c>
      <c r="C217" s="14">
        <v>1</v>
      </c>
    </row>
    <row r="218" spans="1:3">
      <c r="A218" s="11" t="s">
        <v>300</v>
      </c>
      <c r="B218" s="11" t="s">
        <v>301</v>
      </c>
      <c r="C218" s="14">
        <v>1</v>
      </c>
    </row>
    <row r="219" spans="1:3">
      <c r="A219" s="15" t="s">
        <v>1936</v>
      </c>
      <c r="B219" s="15" t="s">
        <v>1937</v>
      </c>
      <c r="C219" s="14">
        <v>1</v>
      </c>
    </row>
    <row r="220" spans="1:3">
      <c r="A220" s="15" t="s">
        <v>2182</v>
      </c>
      <c r="B220" s="15" t="s">
        <v>2183</v>
      </c>
      <c r="C220" s="14">
        <v>1</v>
      </c>
    </row>
    <row r="221" spans="1:3">
      <c r="A221" s="15" t="s">
        <v>2184</v>
      </c>
      <c r="B221" s="15" t="s">
        <v>2715</v>
      </c>
      <c r="C221" s="14">
        <v>1</v>
      </c>
    </row>
    <row r="222" spans="1:3">
      <c r="A222" s="15" t="s">
        <v>302</v>
      </c>
      <c r="B222" s="15" t="s">
        <v>303</v>
      </c>
      <c r="C222" s="14">
        <v>1</v>
      </c>
    </row>
    <row r="223" spans="1:3">
      <c r="A223" s="15" t="s">
        <v>304</v>
      </c>
      <c r="B223" s="15" t="s">
        <v>305</v>
      </c>
      <c r="C223" s="14">
        <v>1</v>
      </c>
    </row>
    <row r="224" spans="1:3">
      <c r="A224" s="15" t="s">
        <v>306</v>
      </c>
      <c r="B224" s="15" t="s">
        <v>307</v>
      </c>
      <c r="C224" s="14">
        <v>1</v>
      </c>
    </row>
    <row r="225" spans="1:3">
      <c r="A225" s="15" t="s">
        <v>2185</v>
      </c>
      <c r="B225" s="15" t="s">
        <v>2716</v>
      </c>
      <c r="C225" s="14">
        <v>1</v>
      </c>
    </row>
    <row r="226" spans="1:3">
      <c r="A226" s="15" t="s">
        <v>308</v>
      </c>
      <c r="B226" s="15" t="s">
        <v>309</v>
      </c>
      <c r="C226" s="14">
        <v>1</v>
      </c>
    </row>
    <row r="227" spans="1:3">
      <c r="A227" s="15" t="s">
        <v>310</v>
      </c>
      <c r="B227" s="15" t="s">
        <v>311</v>
      </c>
      <c r="C227" s="14">
        <v>1</v>
      </c>
    </row>
    <row r="228" spans="1:3">
      <c r="A228" s="15" t="s">
        <v>312</v>
      </c>
      <c r="B228" s="15" t="s">
        <v>313</v>
      </c>
      <c r="C228" s="14">
        <v>1</v>
      </c>
    </row>
    <row r="229" spans="1:3">
      <c r="A229" s="15" t="s">
        <v>314</v>
      </c>
      <c r="B229" s="15" t="s">
        <v>315</v>
      </c>
      <c r="C229" s="14">
        <v>1</v>
      </c>
    </row>
    <row r="230" spans="1:3">
      <c r="A230" s="15" t="s">
        <v>2186</v>
      </c>
      <c r="B230" s="15" t="s">
        <v>2717</v>
      </c>
      <c r="C230" s="14">
        <v>1</v>
      </c>
    </row>
    <row r="231" spans="1:3">
      <c r="A231" s="15" t="s">
        <v>316</v>
      </c>
      <c r="B231" s="15" t="s">
        <v>317</v>
      </c>
      <c r="C231" s="14">
        <v>1</v>
      </c>
    </row>
    <row r="232" spans="1:3">
      <c r="A232" s="15" t="s">
        <v>318</v>
      </c>
      <c r="B232" s="15" t="s">
        <v>319</v>
      </c>
      <c r="C232" s="14">
        <v>1</v>
      </c>
    </row>
    <row r="233" spans="1:3">
      <c r="A233" s="15" t="s">
        <v>320</v>
      </c>
      <c r="B233" s="15" t="s">
        <v>321</v>
      </c>
      <c r="C233" s="14">
        <v>1</v>
      </c>
    </row>
    <row r="234" spans="1:3">
      <c r="A234" s="15" t="s">
        <v>322</v>
      </c>
      <c r="B234" s="15" t="s">
        <v>323</v>
      </c>
      <c r="C234" s="14">
        <v>1</v>
      </c>
    </row>
    <row r="235" spans="1:3">
      <c r="A235" s="15" t="s">
        <v>324</v>
      </c>
      <c r="B235" s="15" t="s">
        <v>325</v>
      </c>
      <c r="C235" s="14">
        <v>1</v>
      </c>
    </row>
    <row r="236" spans="1:3">
      <c r="A236" s="15" t="s">
        <v>326</v>
      </c>
      <c r="B236" s="15" t="s">
        <v>327</v>
      </c>
      <c r="C236" s="14">
        <v>1</v>
      </c>
    </row>
    <row r="237" spans="1:3">
      <c r="A237" s="15" t="s">
        <v>2187</v>
      </c>
      <c r="B237" s="15" t="s">
        <v>2718</v>
      </c>
      <c r="C237" s="14">
        <v>1</v>
      </c>
    </row>
    <row r="238" spans="1:3">
      <c r="A238" s="15" t="s">
        <v>328</v>
      </c>
      <c r="B238" s="15" t="s">
        <v>329</v>
      </c>
      <c r="C238" s="14">
        <v>1</v>
      </c>
    </row>
    <row r="239" spans="1:3">
      <c r="A239" s="15" t="s">
        <v>330</v>
      </c>
      <c r="B239" s="15" t="s">
        <v>331</v>
      </c>
      <c r="C239" s="14">
        <v>1</v>
      </c>
    </row>
    <row r="240" spans="1:3">
      <c r="A240" s="11" t="s">
        <v>332</v>
      </c>
      <c r="B240" s="11" t="s">
        <v>333</v>
      </c>
      <c r="C240" s="14">
        <v>1</v>
      </c>
    </row>
    <row r="241" spans="1:3">
      <c r="A241" s="11" t="s">
        <v>334</v>
      </c>
      <c r="B241" s="11" t="s">
        <v>335</v>
      </c>
      <c r="C241" s="14">
        <v>1</v>
      </c>
    </row>
    <row r="242" spans="1:3">
      <c r="A242" s="11" t="s">
        <v>336</v>
      </c>
      <c r="B242" s="11" t="s">
        <v>337</v>
      </c>
      <c r="C242" s="14">
        <v>1</v>
      </c>
    </row>
    <row r="243" spans="1:3">
      <c r="A243" s="11" t="s">
        <v>338</v>
      </c>
      <c r="B243" s="11" t="s">
        <v>339</v>
      </c>
      <c r="C243" s="14">
        <v>1</v>
      </c>
    </row>
    <row r="244" spans="1:3">
      <c r="A244" s="11" t="s">
        <v>340</v>
      </c>
      <c r="B244" s="11" t="s">
        <v>341</v>
      </c>
      <c r="C244" s="14">
        <v>1</v>
      </c>
    </row>
    <row r="245" spans="1:3">
      <c r="A245" s="11" t="s">
        <v>342</v>
      </c>
      <c r="B245" s="11" t="s">
        <v>343</v>
      </c>
      <c r="C245" s="14">
        <v>1</v>
      </c>
    </row>
    <row r="246" spans="1:3">
      <c r="A246" s="11" t="s">
        <v>2188</v>
      </c>
      <c r="B246" s="11" t="s">
        <v>2189</v>
      </c>
      <c r="C246" s="14">
        <v>1</v>
      </c>
    </row>
    <row r="247" spans="1:3">
      <c r="A247" s="11" t="s">
        <v>344</v>
      </c>
      <c r="B247" s="11" t="s">
        <v>345</v>
      </c>
      <c r="C247" s="14">
        <v>1</v>
      </c>
    </row>
    <row r="248" spans="1:3">
      <c r="A248" s="11" t="s">
        <v>346</v>
      </c>
      <c r="B248" s="11" t="s">
        <v>347</v>
      </c>
      <c r="C248" s="14">
        <v>1</v>
      </c>
    </row>
    <row r="249" spans="1:3">
      <c r="A249" s="11" t="s">
        <v>348</v>
      </c>
      <c r="B249" s="11" t="s">
        <v>349</v>
      </c>
      <c r="C249" s="14">
        <v>1</v>
      </c>
    </row>
    <row r="250" spans="1:3">
      <c r="A250" s="11" t="s">
        <v>350</v>
      </c>
      <c r="B250" s="11" t="s">
        <v>351</v>
      </c>
      <c r="C250" s="14">
        <v>1</v>
      </c>
    </row>
    <row r="251" spans="1:3">
      <c r="A251" s="11" t="s">
        <v>2190</v>
      </c>
      <c r="B251" s="11" t="s">
        <v>2192</v>
      </c>
      <c r="C251" s="14">
        <v>1</v>
      </c>
    </row>
    <row r="252" spans="1:3">
      <c r="A252" s="15" t="s">
        <v>2191</v>
      </c>
      <c r="B252" s="15" t="s">
        <v>2590</v>
      </c>
      <c r="C252" s="14">
        <v>1</v>
      </c>
    </row>
    <row r="253" spans="1:3">
      <c r="A253" s="15" t="s">
        <v>352</v>
      </c>
      <c r="B253" s="15" t="s">
        <v>353</v>
      </c>
      <c r="C253" s="14">
        <v>1</v>
      </c>
    </row>
    <row r="254" spans="1:3">
      <c r="A254" s="15" t="s">
        <v>354</v>
      </c>
      <c r="B254" s="15" t="s">
        <v>355</v>
      </c>
      <c r="C254" s="14">
        <v>1</v>
      </c>
    </row>
    <row r="255" spans="1:3">
      <c r="A255" s="15" t="s">
        <v>2193</v>
      </c>
      <c r="B255" s="15" t="s">
        <v>2591</v>
      </c>
      <c r="C255" s="14">
        <v>1</v>
      </c>
    </row>
    <row r="256" spans="1:3">
      <c r="A256" s="15" t="s">
        <v>356</v>
      </c>
      <c r="B256" s="15" t="s">
        <v>357</v>
      </c>
      <c r="C256" s="14">
        <v>1</v>
      </c>
    </row>
    <row r="257" spans="1:3">
      <c r="A257" s="15" t="s">
        <v>358</v>
      </c>
      <c r="B257" s="15" t="s">
        <v>359</v>
      </c>
      <c r="C257" s="14">
        <v>1</v>
      </c>
    </row>
    <row r="258" spans="1:3">
      <c r="A258" s="15" t="s">
        <v>360</v>
      </c>
      <c r="B258" s="15" t="s">
        <v>361</v>
      </c>
      <c r="C258" s="14">
        <v>1</v>
      </c>
    </row>
    <row r="259" spans="1:3">
      <c r="A259" s="15" t="s">
        <v>362</v>
      </c>
      <c r="B259" s="15" t="s">
        <v>363</v>
      </c>
      <c r="C259" s="14">
        <v>1</v>
      </c>
    </row>
    <row r="260" spans="1:3">
      <c r="A260" s="15" t="s">
        <v>364</v>
      </c>
      <c r="B260" s="15" t="s">
        <v>365</v>
      </c>
      <c r="C260" s="14">
        <v>1</v>
      </c>
    </row>
    <row r="261" spans="1:3">
      <c r="A261" s="15" t="s">
        <v>2719</v>
      </c>
      <c r="B261" s="15" t="s">
        <v>2724</v>
      </c>
      <c r="C261" s="14">
        <v>1</v>
      </c>
    </row>
    <row r="262" spans="1:3">
      <c r="A262" s="15" t="s">
        <v>2720</v>
      </c>
      <c r="B262" s="15" t="s">
        <v>366</v>
      </c>
      <c r="C262" s="14">
        <v>1</v>
      </c>
    </row>
    <row r="263" spans="1:3">
      <c r="A263" s="15" t="s">
        <v>2721</v>
      </c>
      <c r="B263" s="15" t="s">
        <v>367</v>
      </c>
      <c r="C263" s="14">
        <v>1</v>
      </c>
    </row>
    <row r="264" spans="1:3">
      <c r="A264" s="15" t="s">
        <v>2722</v>
      </c>
      <c r="B264" s="15" t="s">
        <v>368</v>
      </c>
      <c r="C264" s="14">
        <v>1</v>
      </c>
    </row>
    <row r="265" spans="1:3">
      <c r="A265" s="15" t="s">
        <v>2723</v>
      </c>
      <c r="B265" s="15" t="s">
        <v>369</v>
      </c>
      <c r="C265" s="14">
        <v>1</v>
      </c>
    </row>
    <row r="266" spans="1:3">
      <c r="A266" s="15" t="s">
        <v>2194</v>
      </c>
      <c r="B266" s="15" t="s">
        <v>2195</v>
      </c>
      <c r="C266" s="14">
        <v>1</v>
      </c>
    </row>
    <row r="267" spans="1:3">
      <c r="A267" s="15" t="s">
        <v>370</v>
      </c>
      <c r="B267" s="15" t="s">
        <v>371</v>
      </c>
      <c r="C267" s="14">
        <v>1</v>
      </c>
    </row>
    <row r="268" spans="1:3">
      <c r="A268" s="15" t="s">
        <v>372</v>
      </c>
      <c r="B268" s="15" t="s">
        <v>373</v>
      </c>
      <c r="C268" s="14">
        <v>1</v>
      </c>
    </row>
    <row r="269" spans="1:3">
      <c r="A269" s="15" t="s">
        <v>374</v>
      </c>
      <c r="B269" s="15" t="s">
        <v>375</v>
      </c>
      <c r="C269" s="14">
        <v>1</v>
      </c>
    </row>
    <row r="270" spans="1:3">
      <c r="A270" s="15" t="s">
        <v>376</v>
      </c>
      <c r="B270" s="15" t="s">
        <v>377</v>
      </c>
      <c r="C270" s="14">
        <v>1</v>
      </c>
    </row>
    <row r="271" spans="1:3">
      <c r="A271" s="15" t="s">
        <v>378</v>
      </c>
      <c r="B271" s="15" t="s">
        <v>379</v>
      </c>
      <c r="C271" s="14">
        <v>1</v>
      </c>
    </row>
    <row r="272" spans="1:3">
      <c r="A272" s="15" t="s">
        <v>380</v>
      </c>
      <c r="B272" s="15" t="s">
        <v>381</v>
      </c>
      <c r="C272" s="14">
        <v>1</v>
      </c>
    </row>
    <row r="273" spans="1:3">
      <c r="A273" s="15" t="s">
        <v>382</v>
      </c>
      <c r="B273" s="15" t="s">
        <v>383</v>
      </c>
      <c r="C273" s="14">
        <v>1</v>
      </c>
    </row>
    <row r="274" spans="1:3">
      <c r="A274" s="15" t="s">
        <v>2196</v>
      </c>
      <c r="B274" s="15" t="s">
        <v>2197</v>
      </c>
      <c r="C274" s="14">
        <v>1</v>
      </c>
    </row>
    <row r="275" spans="1:3">
      <c r="A275" s="15" t="s">
        <v>384</v>
      </c>
      <c r="B275" s="15" t="s">
        <v>385</v>
      </c>
      <c r="C275" s="14">
        <v>1</v>
      </c>
    </row>
    <row r="276" spans="1:3">
      <c r="A276" s="15" t="s">
        <v>386</v>
      </c>
      <c r="B276" s="15" t="s">
        <v>387</v>
      </c>
      <c r="C276" s="14">
        <v>1</v>
      </c>
    </row>
    <row r="277" spans="1:3">
      <c r="A277" s="15" t="s">
        <v>388</v>
      </c>
      <c r="B277" s="15" t="s">
        <v>389</v>
      </c>
      <c r="C277" s="14">
        <v>1</v>
      </c>
    </row>
    <row r="278" spans="1:3">
      <c r="A278" s="15" t="s">
        <v>1939</v>
      </c>
      <c r="B278" s="15" t="s">
        <v>1938</v>
      </c>
      <c r="C278" s="14">
        <v>1</v>
      </c>
    </row>
    <row r="279" spans="1:3">
      <c r="A279" s="15" t="s">
        <v>2198</v>
      </c>
      <c r="B279" s="15" t="s">
        <v>2199</v>
      </c>
      <c r="C279" s="14">
        <v>1</v>
      </c>
    </row>
    <row r="280" spans="1:3">
      <c r="A280" s="15" t="s">
        <v>390</v>
      </c>
      <c r="B280" s="15" t="s">
        <v>391</v>
      </c>
      <c r="C280" s="14">
        <v>1</v>
      </c>
    </row>
    <row r="281" spans="1:3">
      <c r="A281" s="15" t="s">
        <v>392</v>
      </c>
      <c r="B281" s="15" t="s">
        <v>393</v>
      </c>
      <c r="C281" s="14">
        <v>1</v>
      </c>
    </row>
    <row r="282" spans="1:3">
      <c r="A282" s="15" t="s">
        <v>2200</v>
      </c>
      <c r="B282" s="15" t="s">
        <v>2201</v>
      </c>
      <c r="C282" s="14">
        <v>1</v>
      </c>
    </row>
    <row r="283" spans="1:3">
      <c r="A283" s="15" t="s">
        <v>394</v>
      </c>
      <c r="B283" s="15" t="s">
        <v>395</v>
      </c>
      <c r="C283" s="14">
        <v>1</v>
      </c>
    </row>
    <row r="284" spans="1:3">
      <c r="A284" s="15" t="s">
        <v>396</v>
      </c>
      <c r="B284" s="15" t="s">
        <v>397</v>
      </c>
      <c r="C284" s="14">
        <v>1</v>
      </c>
    </row>
    <row r="285" spans="1:3">
      <c r="A285" s="15" t="s">
        <v>398</v>
      </c>
      <c r="B285" s="15" t="s">
        <v>399</v>
      </c>
      <c r="C285" s="14">
        <v>1</v>
      </c>
    </row>
    <row r="286" spans="1:3">
      <c r="A286" s="15" t="s">
        <v>400</v>
      </c>
      <c r="B286" s="15" t="s">
        <v>401</v>
      </c>
      <c r="C286" s="14">
        <v>1</v>
      </c>
    </row>
    <row r="287" spans="1:3">
      <c r="A287" s="15" t="s">
        <v>402</v>
      </c>
      <c r="B287" s="15" t="s">
        <v>403</v>
      </c>
      <c r="C287" s="14">
        <v>1</v>
      </c>
    </row>
    <row r="288" spans="1:3">
      <c r="A288" s="15" t="s">
        <v>404</v>
      </c>
      <c r="B288" s="15" t="s">
        <v>405</v>
      </c>
      <c r="C288" s="14">
        <v>1</v>
      </c>
    </row>
    <row r="289" spans="1:6">
      <c r="A289" s="15" t="s">
        <v>2202</v>
      </c>
      <c r="B289" s="15" t="s">
        <v>2203</v>
      </c>
      <c r="C289" s="14">
        <v>1</v>
      </c>
    </row>
    <row r="290" spans="1:6">
      <c r="A290" s="15" t="s">
        <v>406</v>
      </c>
      <c r="B290" s="15" t="s">
        <v>407</v>
      </c>
      <c r="C290" s="14">
        <v>1</v>
      </c>
    </row>
    <row r="291" spans="1:6">
      <c r="A291" s="15" t="s">
        <v>408</v>
      </c>
      <c r="B291" s="15" t="s">
        <v>409</v>
      </c>
      <c r="C291" s="14">
        <v>1</v>
      </c>
    </row>
    <row r="292" spans="1:6">
      <c r="A292" s="15" t="s">
        <v>410</v>
      </c>
      <c r="B292" s="15" t="s">
        <v>411</v>
      </c>
      <c r="C292" s="14">
        <v>1</v>
      </c>
    </row>
    <row r="293" spans="1:6">
      <c r="A293" s="4" t="s">
        <v>2879</v>
      </c>
      <c r="B293" s="4" t="s">
        <v>2880</v>
      </c>
      <c r="C293" s="17">
        <v>1</v>
      </c>
      <c r="D293" s="18">
        <v>42292</v>
      </c>
      <c r="E293" s="20" t="s">
        <v>2897</v>
      </c>
    </row>
    <row r="294" spans="1:6">
      <c r="A294" s="15" t="s">
        <v>2204</v>
      </c>
      <c r="B294" s="15" t="s">
        <v>2205</v>
      </c>
      <c r="C294" s="14">
        <v>1</v>
      </c>
      <c r="E294" s="15"/>
      <c r="F294" s="15"/>
    </row>
    <row r="295" spans="1:6">
      <c r="A295" s="15" t="s">
        <v>412</v>
      </c>
      <c r="B295" s="15" t="s">
        <v>413</v>
      </c>
      <c r="C295" s="14">
        <v>1</v>
      </c>
      <c r="E295" s="15"/>
      <c r="F295" s="15"/>
    </row>
    <row r="296" spans="1:6">
      <c r="A296" s="11" t="s">
        <v>414</v>
      </c>
      <c r="B296" s="11" t="s">
        <v>415</v>
      </c>
      <c r="C296" s="14">
        <v>1</v>
      </c>
      <c r="E296" s="15"/>
      <c r="F296" s="15"/>
    </row>
    <row r="297" spans="1:6">
      <c r="A297" s="11" t="s">
        <v>416</v>
      </c>
      <c r="B297" s="11" t="s">
        <v>417</v>
      </c>
      <c r="C297" s="14">
        <v>1</v>
      </c>
    </row>
    <row r="298" spans="1:6">
      <c r="A298" s="15" t="s">
        <v>2206</v>
      </c>
      <c r="B298" s="15" t="s">
        <v>2207</v>
      </c>
      <c r="C298" s="14">
        <v>1</v>
      </c>
    </row>
    <row r="299" spans="1:6">
      <c r="A299" s="15" t="s">
        <v>418</v>
      </c>
      <c r="B299" s="15" t="s">
        <v>419</v>
      </c>
      <c r="C299" s="14">
        <v>1</v>
      </c>
    </row>
    <row r="300" spans="1:6">
      <c r="A300" s="15" t="s">
        <v>420</v>
      </c>
      <c r="B300" s="15" t="s">
        <v>421</v>
      </c>
      <c r="C300" s="14">
        <v>1</v>
      </c>
    </row>
    <row r="301" spans="1:6">
      <c r="A301" s="15" t="s">
        <v>422</v>
      </c>
      <c r="B301" s="15" t="s">
        <v>423</v>
      </c>
      <c r="C301" s="14">
        <v>1</v>
      </c>
    </row>
    <row r="302" spans="1:6">
      <c r="A302" s="15" t="s">
        <v>424</v>
      </c>
      <c r="B302" s="15" t="s">
        <v>425</v>
      </c>
      <c r="C302" s="14">
        <v>1</v>
      </c>
    </row>
    <row r="303" spans="1:6">
      <c r="A303" s="15" t="s">
        <v>2208</v>
      </c>
      <c r="B303" s="15" t="s">
        <v>2725</v>
      </c>
      <c r="C303" s="14">
        <v>1</v>
      </c>
    </row>
    <row r="304" spans="1:6">
      <c r="A304" s="15" t="s">
        <v>426</v>
      </c>
      <c r="B304" s="15" t="s">
        <v>427</v>
      </c>
      <c r="C304" s="14">
        <v>1</v>
      </c>
    </row>
    <row r="305" spans="1:3">
      <c r="A305" s="15" t="s">
        <v>1940</v>
      </c>
      <c r="B305" s="15" t="s">
        <v>1941</v>
      </c>
      <c r="C305" s="14">
        <v>1</v>
      </c>
    </row>
    <row r="306" spans="1:3">
      <c r="A306" s="15" t="s">
        <v>2209</v>
      </c>
      <c r="B306" s="15" t="s">
        <v>2210</v>
      </c>
      <c r="C306" s="14">
        <v>1</v>
      </c>
    </row>
    <row r="307" spans="1:3">
      <c r="A307" s="15" t="s">
        <v>428</v>
      </c>
      <c r="B307" s="15" t="s">
        <v>429</v>
      </c>
      <c r="C307" s="14">
        <v>1</v>
      </c>
    </row>
    <row r="308" spans="1:3">
      <c r="A308" s="11" t="s">
        <v>430</v>
      </c>
      <c r="B308" s="11" t="s">
        <v>431</v>
      </c>
      <c r="C308" s="14">
        <v>1</v>
      </c>
    </row>
    <row r="309" spans="1:3">
      <c r="A309" s="11" t="s">
        <v>432</v>
      </c>
      <c r="B309" s="11" t="s">
        <v>433</v>
      </c>
      <c r="C309" s="14">
        <v>1</v>
      </c>
    </row>
    <row r="310" spans="1:3">
      <c r="A310" s="11" t="s">
        <v>434</v>
      </c>
      <c r="B310" s="11" t="s">
        <v>435</v>
      </c>
      <c r="C310" s="14">
        <v>1</v>
      </c>
    </row>
    <row r="311" spans="1:3">
      <c r="A311" s="11" t="s">
        <v>436</v>
      </c>
      <c r="B311" s="11" t="s">
        <v>437</v>
      </c>
      <c r="C311" s="14">
        <v>1</v>
      </c>
    </row>
    <row r="312" spans="1:3">
      <c r="A312" s="11" t="s">
        <v>438</v>
      </c>
      <c r="B312" s="11" t="s">
        <v>439</v>
      </c>
      <c r="C312" s="14">
        <v>1</v>
      </c>
    </row>
    <row r="313" spans="1:3">
      <c r="A313" s="11" t="s">
        <v>440</v>
      </c>
      <c r="B313" s="11" t="s">
        <v>441</v>
      </c>
      <c r="C313" s="14">
        <v>1</v>
      </c>
    </row>
    <row r="314" spans="1:3">
      <c r="A314" s="11" t="s">
        <v>442</v>
      </c>
      <c r="B314" s="11" t="s">
        <v>443</v>
      </c>
      <c r="C314" s="14">
        <v>1</v>
      </c>
    </row>
    <row r="315" spans="1:3">
      <c r="A315" s="11" t="s">
        <v>444</v>
      </c>
      <c r="B315" s="11" t="s">
        <v>445</v>
      </c>
      <c r="C315" s="14">
        <v>1</v>
      </c>
    </row>
    <row r="316" spans="1:3">
      <c r="A316" s="11" t="s">
        <v>2211</v>
      </c>
      <c r="B316" s="11" t="s">
        <v>2212</v>
      </c>
      <c r="C316" s="14">
        <v>1</v>
      </c>
    </row>
    <row r="317" spans="1:3">
      <c r="A317" s="11" t="s">
        <v>446</v>
      </c>
      <c r="B317" s="11" t="s">
        <v>447</v>
      </c>
      <c r="C317" s="14">
        <v>1</v>
      </c>
    </row>
    <row r="318" spans="1:3">
      <c r="A318" s="11" t="s">
        <v>448</v>
      </c>
      <c r="B318" s="11" t="s">
        <v>449</v>
      </c>
      <c r="C318" s="14">
        <v>1</v>
      </c>
    </row>
    <row r="319" spans="1:3">
      <c r="A319" s="11" t="s">
        <v>450</v>
      </c>
      <c r="B319" s="11" t="s">
        <v>451</v>
      </c>
      <c r="C319" s="14">
        <v>1</v>
      </c>
    </row>
    <row r="320" spans="1:3">
      <c r="A320" s="11" t="s">
        <v>452</v>
      </c>
      <c r="B320" s="11" t="s">
        <v>453</v>
      </c>
      <c r="C320" s="14">
        <v>1</v>
      </c>
    </row>
    <row r="321" spans="1:3">
      <c r="A321" s="11" t="s">
        <v>2213</v>
      </c>
      <c r="B321" s="11" t="s">
        <v>2214</v>
      </c>
      <c r="C321" s="14">
        <v>1</v>
      </c>
    </row>
    <row r="322" spans="1:3">
      <c r="A322" s="11" t="s">
        <v>454</v>
      </c>
      <c r="B322" s="11" t="s">
        <v>455</v>
      </c>
      <c r="C322" s="14">
        <v>1</v>
      </c>
    </row>
    <row r="323" spans="1:3">
      <c r="A323" s="11" t="s">
        <v>456</v>
      </c>
      <c r="B323" s="11" t="s">
        <v>457</v>
      </c>
      <c r="C323" s="14">
        <v>1</v>
      </c>
    </row>
    <row r="324" spans="1:3">
      <c r="A324" s="11" t="s">
        <v>2215</v>
      </c>
      <c r="B324" s="11" t="s">
        <v>2216</v>
      </c>
      <c r="C324" s="14">
        <v>1</v>
      </c>
    </row>
    <row r="325" spans="1:3">
      <c r="A325" s="11" t="s">
        <v>458</v>
      </c>
      <c r="B325" s="11" t="s">
        <v>459</v>
      </c>
      <c r="C325" s="14">
        <v>1</v>
      </c>
    </row>
    <row r="326" spans="1:3">
      <c r="A326" s="11" t="s">
        <v>460</v>
      </c>
      <c r="B326" s="11" t="s">
        <v>461</v>
      </c>
      <c r="C326" s="14">
        <v>1</v>
      </c>
    </row>
    <row r="327" spans="1:3">
      <c r="A327" s="11" t="s">
        <v>462</v>
      </c>
      <c r="B327" s="11" t="s">
        <v>463</v>
      </c>
      <c r="C327" s="14">
        <v>1</v>
      </c>
    </row>
    <row r="328" spans="1:3">
      <c r="A328" s="11" t="s">
        <v>464</v>
      </c>
      <c r="B328" s="11" t="s">
        <v>465</v>
      </c>
      <c r="C328" s="14">
        <v>1</v>
      </c>
    </row>
    <row r="329" spans="1:3">
      <c r="A329" s="11" t="s">
        <v>466</v>
      </c>
      <c r="B329" s="11" t="s">
        <v>467</v>
      </c>
      <c r="C329" s="14">
        <v>1</v>
      </c>
    </row>
    <row r="330" spans="1:3">
      <c r="A330" s="11" t="s">
        <v>468</v>
      </c>
      <c r="B330" s="11" t="s">
        <v>469</v>
      </c>
      <c r="C330" s="14">
        <v>1</v>
      </c>
    </row>
    <row r="331" spans="1:3">
      <c r="A331" s="11" t="s">
        <v>470</v>
      </c>
      <c r="B331" s="11" t="s">
        <v>471</v>
      </c>
      <c r="C331" s="14">
        <v>1</v>
      </c>
    </row>
    <row r="332" spans="1:3">
      <c r="A332" s="11" t="s">
        <v>472</v>
      </c>
      <c r="B332" s="11" t="s">
        <v>473</v>
      </c>
      <c r="C332" s="14">
        <v>1</v>
      </c>
    </row>
    <row r="333" spans="1:3">
      <c r="A333" s="11" t="s">
        <v>474</v>
      </c>
      <c r="B333" s="11" t="s">
        <v>475</v>
      </c>
      <c r="C333" s="14">
        <v>1</v>
      </c>
    </row>
    <row r="334" spans="1:3">
      <c r="A334" s="11" t="s">
        <v>2217</v>
      </c>
      <c r="B334" s="11" t="s">
        <v>2218</v>
      </c>
      <c r="C334" s="14">
        <v>1</v>
      </c>
    </row>
    <row r="335" spans="1:3">
      <c r="A335" s="11" t="s">
        <v>476</v>
      </c>
      <c r="B335" s="11" t="s">
        <v>477</v>
      </c>
      <c r="C335" s="14">
        <v>1</v>
      </c>
    </row>
    <row r="336" spans="1:3">
      <c r="A336" s="11" t="s">
        <v>478</v>
      </c>
      <c r="B336" s="11" t="s">
        <v>479</v>
      </c>
      <c r="C336" s="14">
        <v>1</v>
      </c>
    </row>
    <row r="337" spans="1:3">
      <c r="A337" s="11" t="s">
        <v>480</v>
      </c>
      <c r="B337" s="11" t="s">
        <v>481</v>
      </c>
      <c r="C337" s="14">
        <v>1</v>
      </c>
    </row>
    <row r="338" spans="1:3">
      <c r="A338" s="11" t="s">
        <v>482</v>
      </c>
      <c r="B338" s="11" t="s">
        <v>483</v>
      </c>
      <c r="C338" s="14">
        <v>1</v>
      </c>
    </row>
    <row r="339" spans="1:3">
      <c r="A339" s="11" t="s">
        <v>484</v>
      </c>
      <c r="B339" s="11" t="s">
        <v>485</v>
      </c>
      <c r="C339" s="14">
        <v>1</v>
      </c>
    </row>
    <row r="340" spans="1:3">
      <c r="A340" s="11" t="s">
        <v>486</v>
      </c>
      <c r="B340" s="11" t="s">
        <v>487</v>
      </c>
      <c r="C340" s="14">
        <v>1</v>
      </c>
    </row>
    <row r="341" spans="1:3">
      <c r="A341" s="11" t="s">
        <v>488</v>
      </c>
      <c r="B341" s="11" t="s">
        <v>489</v>
      </c>
      <c r="C341" s="14">
        <v>1</v>
      </c>
    </row>
    <row r="342" spans="1:3">
      <c r="A342" s="11" t="s">
        <v>490</v>
      </c>
      <c r="B342" s="11" t="s">
        <v>491</v>
      </c>
      <c r="C342" s="14">
        <v>1</v>
      </c>
    </row>
    <row r="343" spans="1:3">
      <c r="A343" s="11" t="s">
        <v>492</v>
      </c>
      <c r="B343" s="11" t="s">
        <v>493</v>
      </c>
      <c r="C343" s="14">
        <v>1</v>
      </c>
    </row>
    <row r="344" spans="1:3">
      <c r="A344" s="11" t="str">
        <f>"01.2"</f>
        <v>01.2</v>
      </c>
      <c r="B344" s="11" t="s">
        <v>1942</v>
      </c>
      <c r="C344" s="14">
        <v>1</v>
      </c>
    </row>
    <row r="345" spans="1:3">
      <c r="A345" s="11" t="s">
        <v>1943</v>
      </c>
      <c r="B345" s="11" t="s">
        <v>1944</v>
      </c>
      <c r="C345" s="14">
        <v>1</v>
      </c>
    </row>
    <row r="346" spans="1:3">
      <c r="A346" s="11" t="s">
        <v>2219</v>
      </c>
      <c r="B346" s="11" t="s">
        <v>2220</v>
      </c>
      <c r="C346" s="14">
        <v>1</v>
      </c>
    </row>
    <row r="347" spans="1:3">
      <c r="A347" s="11" t="s">
        <v>494</v>
      </c>
      <c r="B347" s="11" t="s">
        <v>495</v>
      </c>
      <c r="C347" s="14">
        <v>1</v>
      </c>
    </row>
    <row r="348" spans="1:3">
      <c r="A348" s="11" t="s">
        <v>496</v>
      </c>
      <c r="B348" s="11" t="s">
        <v>497</v>
      </c>
      <c r="C348" s="14">
        <v>1</v>
      </c>
    </row>
    <row r="349" spans="1:3">
      <c r="A349" s="11" t="s">
        <v>498</v>
      </c>
      <c r="B349" s="11" t="s">
        <v>499</v>
      </c>
      <c r="C349" s="14">
        <v>1</v>
      </c>
    </row>
    <row r="350" spans="1:3">
      <c r="A350" s="11" t="s">
        <v>2221</v>
      </c>
      <c r="B350" s="11" t="s">
        <v>2222</v>
      </c>
      <c r="C350" s="14">
        <v>1</v>
      </c>
    </row>
    <row r="351" spans="1:3">
      <c r="A351" s="11" t="s">
        <v>500</v>
      </c>
      <c r="B351" s="11" t="s">
        <v>501</v>
      </c>
      <c r="C351" s="14">
        <v>1</v>
      </c>
    </row>
    <row r="352" spans="1:3">
      <c r="A352" s="11" t="s">
        <v>502</v>
      </c>
      <c r="B352" s="11" t="s">
        <v>503</v>
      </c>
      <c r="C352" s="14">
        <v>1</v>
      </c>
    </row>
    <row r="353" spans="1:3">
      <c r="A353" s="11" t="s">
        <v>2223</v>
      </c>
      <c r="B353" s="11" t="s">
        <v>2224</v>
      </c>
      <c r="C353" s="14">
        <v>1</v>
      </c>
    </row>
    <row r="354" spans="1:3">
      <c r="A354" s="11" t="s">
        <v>504</v>
      </c>
      <c r="B354" s="11" t="s">
        <v>505</v>
      </c>
      <c r="C354" s="14">
        <v>1</v>
      </c>
    </row>
    <row r="355" spans="1:3">
      <c r="A355" s="11" t="s">
        <v>506</v>
      </c>
      <c r="B355" s="11" t="s">
        <v>507</v>
      </c>
      <c r="C355" s="14">
        <v>1</v>
      </c>
    </row>
    <row r="356" spans="1:3">
      <c r="A356" s="11" t="s">
        <v>1946</v>
      </c>
      <c r="B356" s="11" t="s">
        <v>1945</v>
      </c>
      <c r="C356" s="14">
        <v>1</v>
      </c>
    </row>
    <row r="357" spans="1:3">
      <c r="A357" s="11" t="s">
        <v>2225</v>
      </c>
      <c r="B357" s="11" t="s">
        <v>2226</v>
      </c>
      <c r="C357" s="14">
        <v>1</v>
      </c>
    </row>
    <row r="358" spans="1:3">
      <c r="A358" s="11" t="s">
        <v>508</v>
      </c>
      <c r="B358" s="11" t="s">
        <v>509</v>
      </c>
      <c r="C358" s="14">
        <v>1</v>
      </c>
    </row>
    <row r="359" spans="1:3">
      <c r="A359" s="11" t="s">
        <v>510</v>
      </c>
      <c r="B359" s="11" t="s">
        <v>511</v>
      </c>
      <c r="C359" s="14">
        <v>1</v>
      </c>
    </row>
    <row r="360" spans="1:3">
      <c r="A360" s="11" t="s">
        <v>512</v>
      </c>
      <c r="B360" s="11" t="s">
        <v>513</v>
      </c>
      <c r="C360" s="14">
        <v>1</v>
      </c>
    </row>
    <row r="361" spans="1:3">
      <c r="A361" s="11" t="s">
        <v>2227</v>
      </c>
      <c r="B361" s="11" t="s">
        <v>2228</v>
      </c>
      <c r="C361" s="14">
        <v>1</v>
      </c>
    </row>
    <row r="362" spans="1:3">
      <c r="A362" s="11" t="s">
        <v>514</v>
      </c>
      <c r="B362" s="11" t="s">
        <v>515</v>
      </c>
      <c r="C362" s="14">
        <v>1</v>
      </c>
    </row>
    <row r="363" spans="1:3">
      <c r="A363" s="11" t="s">
        <v>516</v>
      </c>
      <c r="B363" s="11" t="s">
        <v>517</v>
      </c>
      <c r="C363" s="14">
        <v>1</v>
      </c>
    </row>
    <row r="364" spans="1:3">
      <c r="A364" s="11" t="s">
        <v>518</v>
      </c>
      <c r="B364" s="11" t="s">
        <v>519</v>
      </c>
      <c r="C364" s="14">
        <v>1</v>
      </c>
    </row>
    <row r="365" spans="1:3">
      <c r="A365" s="11" t="s">
        <v>2229</v>
      </c>
      <c r="B365" s="11" t="s">
        <v>2230</v>
      </c>
      <c r="C365" s="14">
        <v>1</v>
      </c>
    </row>
    <row r="366" spans="1:3">
      <c r="A366" s="11" t="s">
        <v>520</v>
      </c>
      <c r="B366" s="11" t="s">
        <v>521</v>
      </c>
      <c r="C366" s="14">
        <v>1</v>
      </c>
    </row>
    <row r="367" spans="1:3">
      <c r="A367" s="11" t="s">
        <v>522</v>
      </c>
      <c r="B367" s="11" t="s">
        <v>523</v>
      </c>
      <c r="C367" s="14">
        <v>1</v>
      </c>
    </row>
    <row r="368" spans="1:3">
      <c r="A368" s="11" t="s">
        <v>524</v>
      </c>
      <c r="B368" s="11" t="s">
        <v>525</v>
      </c>
      <c r="C368" s="14">
        <v>1</v>
      </c>
    </row>
    <row r="369" spans="1:3">
      <c r="A369" s="11" t="s">
        <v>526</v>
      </c>
      <c r="B369" s="11" t="s">
        <v>527</v>
      </c>
      <c r="C369" s="14">
        <v>1</v>
      </c>
    </row>
    <row r="370" spans="1:3">
      <c r="A370" s="11" t="s">
        <v>528</v>
      </c>
      <c r="B370" s="11" t="s">
        <v>529</v>
      </c>
      <c r="C370" s="14">
        <v>1</v>
      </c>
    </row>
    <row r="371" spans="1:3">
      <c r="A371" s="11" t="s">
        <v>530</v>
      </c>
      <c r="B371" s="11" t="s">
        <v>531</v>
      </c>
      <c r="C371" s="14">
        <v>1</v>
      </c>
    </row>
    <row r="372" spans="1:3">
      <c r="A372" s="11" t="str">
        <f>"02"</f>
        <v>02</v>
      </c>
      <c r="B372" s="11" t="s">
        <v>1947</v>
      </c>
      <c r="C372" s="14">
        <v>1</v>
      </c>
    </row>
    <row r="373" spans="1:3">
      <c r="A373" s="11" t="str">
        <f>"02.1"</f>
        <v>02.1</v>
      </c>
      <c r="B373" s="11" t="s">
        <v>1950</v>
      </c>
      <c r="C373" s="14">
        <v>1</v>
      </c>
    </row>
    <row r="374" spans="1:3">
      <c r="A374" s="11" t="s">
        <v>1948</v>
      </c>
      <c r="B374" s="11" t="s">
        <v>1949</v>
      </c>
      <c r="C374" s="14">
        <v>1</v>
      </c>
    </row>
    <row r="375" spans="1:3">
      <c r="A375" s="11" t="s">
        <v>2231</v>
      </c>
      <c r="B375" s="11" t="s">
        <v>2232</v>
      </c>
      <c r="C375" s="14">
        <v>1</v>
      </c>
    </row>
    <row r="376" spans="1:3">
      <c r="A376" s="11" t="s">
        <v>532</v>
      </c>
      <c r="B376" s="11" t="s">
        <v>533</v>
      </c>
      <c r="C376" s="14">
        <v>1</v>
      </c>
    </row>
    <row r="377" spans="1:3">
      <c r="A377" s="11" t="s">
        <v>534</v>
      </c>
      <c r="B377" s="11" t="s">
        <v>535</v>
      </c>
      <c r="C377" s="14">
        <v>1</v>
      </c>
    </row>
    <row r="378" spans="1:3">
      <c r="A378" s="11" t="s">
        <v>536</v>
      </c>
      <c r="B378" s="11" t="s">
        <v>537</v>
      </c>
      <c r="C378" s="14">
        <v>1</v>
      </c>
    </row>
    <row r="379" spans="1:3">
      <c r="A379" s="11" t="s">
        <v>538</v>
      </c>
      <c r="B379" s="11" t="s">
        <v>539</v>
      </c>
      <c r="C379" s="14">
        <v>1</v>
      </c>
    </row>
    <row r="380" spans="1:3">
      <c r="A380" s="11" t="s">
        <v>540</v>
      </c>
      <c r="B380" s="11" t="s">
        <v>541</v>
      </c>
      <c r="C380" s="14">
        <v>1</v>
      </c>
    </row>
    <row r="381" spans="1:3">
      <c r="A381" s="11" t="s">
        <v>542</v>
      </c>
      <c r="B381" s="11" t="s">
        <v>543</v>
      </c>
      <c r="C381" s="14">
        <v>1</v>
      </c>
    </row>
    <row r="382" spans="1:3">
      <c r="A382" s="11" t="s">
        <v>544</v>
      </c>
      <c r="B382" s="11" t="s">
        <v>545</v>
      </c>
      <c r="C382" s="14">
        <v>1</v>
      </c>
    </row>
    <row r="383" spans="1:3">
      <c r="A383" s="11" t="s">
        <v>546</v>
      </c>
      <c r="B383" s="11" t="s">
        <v>547</v>
      </c>
      <c r="C383" s="14">
        <v>1</v>
      </c>
    </row>
    <row r="384" spans="1:3">
      <c r="A384" s="11" t="s">
        <v>548</v>
      </c>
      <c r="B384" s="11" t="s">
        <v>549</v>
      </c>
      <c r="C384" s="14">
        <v>1</v>
      </c>
    </row>
    <row r="385" spans="1:3">
      <c r="A385" s="11" t="s">
        <v>1951</v>
      </c>
      <c r="B385" s="11" t="s">
        <v>1952</v>
      </c>
      <c r="C385" s="14">
        <v>1</v>
      </c>
    </row>
    <row r="386" spans="1:3">
      <c r="A386" s="11" t="s">
        <v>2233</v>
      </c>
      <c r="B386" s="11" t="s">
        <v>2234</v>
      </c>
      <c r="C386" s="14">
        <v>1</v>
      </c>
    </row>
    <row r="387" spans="1:3">
      <c r="A387" s="11" t="s">
        <v>550</v>
      </c>
      <c r="B387" s="11" t="s">
        <v>551</v>
      </c>
      <c r="C387" s="14">
        <v>1</v>
      </c>
    </row>
    <row r="388" spans="1:3">
      <c r="A388" s="11" t="s">
        <v>552</v>
      </c>
      <c r="B388" s="11" t="s">
        <v>553</v>
      </c>
      <c r="C388" s="14">
        <v>1</v>
      </c>
    </row>
    <row r="389" spans="1:3">
      <c r="A389" s="11" t="s">
        <v>2235</v>
      </c>
      <c r="B389" s="11" t="s">
        <v>2236</v>
      </c>
      <c r="C389" s="14">
        <v>1</v>
      </c>
    </row>
    <row r="390" spans="1:3">
      <c r="A390" s="11" t="s">
        <v>554</v>
      </c>
      <c r="B390" s="11" t="s">
        <v>555</v>
      </c>
      <c r="C390" s="14">
        <v>1</v>
      </c>
    </row>
    <row r="391" spans="1:3">
      <c r="A391" s="11" t="s">
        <v>556</v>
      </c>
      <c r="B391" s="11" t="s">
        <v>557</v>
      </c>
      <c r="C391" s="14">
        <v>1</v>
      </c>
    </row>
    <row r="392" spans="1:3">
      <c r="A392" s="11" t="s">
        <v>2237</v>
      </c>
      <c r="B392" s="11" t="s">
        <v>2238</v>
      </c>
      <c r="C392" s="14">
        <v>1</v>
      </c>
    </row>
    <row r="393" spans="1:3">
      <c r="A393" s="11" t="s">
        <v>558</v>
      </c>
      <c r="B393" s="11" t="s">
        <v>559</v>
      </c>
      <c r="C393" s="14">
        <v>1</v>
      </c>
    </row>
    <row r="394" spans="1:3">
      <c r="A394" s="11" t="s">
        <v>560</v>
      </c>
      <c r="B394" s="11" t="s">
        <v>561</v>
      </c>
      <c r="C394" s="14">
        <v>1</v>
      </c>
    </row>
    <row r="395" spans="1:3">
      <c r="A395" s="11" t="s">
        <v>1953</v>
      </c>
      <c r="B395" s="11" t="s">
        <v>1954</v>
      </c>
      <c r="C395" s="14">
        <v>1</v>
      </c>
    </row>
    <row r="396" spans="1:3">
      <c r="A396" s="11" t="s">
        <v>562</v>
      </c>
      <c r="B396" s="11" t="s">
        <v>563</v>
      </c>
      <c r="C396" s="14">
        <v>1</v>
      </c>
    </row>
    <row r="397" spans="1:3">
      <c r="A397" s="11" t="s">
        <v>2239</v>
      </c>
      <c r="B397" s="11" t="s">
        <v>2240</v>
      </c>
      <c r="C397" s="14">
        <v>1</v>
      </c>
    </row>
    <row r="398" spans="1:3">
      <c r="A398" s="11" t="s">
        <v>564</v>
      </c>
      <c r="B398" s="11" t="s">
        <v>565</v>
      </c>
      <c r="C398" s="14">
        <v>1</v>
      </c>
    </row>
    <row r="399" spans="1:3">
      <c r="A399" s="11" t="s">
        <v>566</v>
      </c>
      <c r="B399" s="11" t="s">
        <v>567</v>
      </c>
      <c r="C399" s="14">
        <v>1</v>
      </c>
    </row>
    <row r="400" spans="1:3">
      <c r="A400" s="11" t="s">
        <v>568</v>
      </c>
      <c r="B400" s="11" t="s">
        <v>569</v>
      </c>
      <c r="C400" s="14">
        <v>1</v>
      </c>
    </row>
    <row r="401" spans="1:3">
      <c r="A401" s="11" t="s">
        <v>570</v>
      </c>
      <c r="B401" s="11" t="s">
        <v>571</v>
      </c>
      <c r="C401" s="14">
        <v>1</v>
      </c>
    </row>
    <row r="402" spans="1:3">
      <c r="A402" s="11" t="str">
        <f>"02.2"</f>
        <v>02.2</v>
      </c>
      <c r="B402" s="11" t="s">
        <v>1955</v>
      </c>
      <c r="C402" s="14">
        <v>5</v>
      </c>
    </row>
    <row r="403" spans="1:3">
      <c r="A403" s="11" t="s">
        <v>2241</v>
      </c>
      <c r="B403" s="11" t="s">
        <v>1955</v>
      </c>
      <c r="C403" s="14">
        <v>5</v>
      </c>
    </row>
    <row r="404" spans="1:3">
      <c r="A404" s="11" t="s">
        <v>572</v>
      </c>
      <c r="B404" s="11" t="s">
        <v>573</v>
      </c>
      <c r="C404" s="14">
        <v>5</v>
      </c>
    </row>
    <row r="405" spans="1:3">
      <c r="A405" s="11" t="s">
        <v>574</v>
      </c>
      <c r="B405" s="11" t="s">
        <v>575</v>
      </c>
      <c r="C405" s="14">
        <v>5</v>
      </c>
    </row>
    <row r="406" spans="1:3">
      <c r="A406" s="11" t="s">
        <v>576</v>
      </c>
      <c r="B406" s="11" t="s">
        <v>577</v>
      </c>
      <c r="C406" s="14">
        <v>5</v>
      </c>
    </row>
    <row r="407" spans="1:3">
      <c r="A407" s="11" t="s">
        <v>578</v>
      </c>
      <c r="B407" s="11" t="s">
        <v>579</v>
      </c>
      <c r="C407" s="14">
        <v>5</v>
      </c>
    </row>
    <row r="408" spans="1:3">
      <c r="A408" s="11" t="s">
        <v>580</v>
      </c>
      <c r="B408" s="11" t="s">
        <v>581</v>
      </c>
      <c r="C408" s="14">
        <v>5</v>
      </c>
    </row>
    <row r="409" spans="1:3">
      <c r="A409" s="11" t="str">
        <f>"03"</f>
        <v>03</v>
      </c>
      <c r="B409" s="11" t="s">
        <v>1956</v>
      </c>
      <c r="C409" s="14">
        <v>4</v>
      </c>
    </row>
    <row r="410" spans="1:3">
      <c r="A410" s="11" t="str">
        <f>"03"</f>
        <v>03</v>
      </c>
      <c r="B410" s="11" t="s">
        <v>1956</v>
      </c>
      <c r="C410" s="14">
        <v>5</v>
      </c>
    </row>
    <row r="411" spans="1:3">
      <c r="A411" s="11" t="str">
        <f>"03.1"</f>
        <v>03.1</v>
      </c>
      <c r="B411" s="11" t="s">
        <v>1957</v>
      </c>
      <c r="C411" s="14">
        <v>4</v>
      </c>
    </row>
    <row r="412" spans="1:3">
      <c r="A412" s="11" t="str">
        <f>"03.1"</f>
        <v>03.1</v>
      </c>
      <c r="B412" s="11" t="s">
        <v>1957</v>
      </c>
      <c r="C412" s="14">
        <v>5</v>
      </c>
    </row>
    <row r="413" spans="1:3">
      <c r="A413" s="11" t="s">
        <v>1958</v>
      </c>
      <c r="B413" s="11" t="s">
        <v>583</v>
      </c>
      <c r="C413" s="14">
        <v>5</v>
      </c>
    </row>
    <row r="414" spans="1:3">
      <c r="A414" s="11" t="s">
        <v>582</v>
      </c>
      <c r="B414" s="11" t="s">
        <v>583</v>
      </c>
      <c r="C414" s="14">
        <v>5</v>
      </c>
    </row>
    <row r="415" spans="1:3">
      <c r="A415" s="15" t="s">
        <v>1961</v>
      </c>
      <c r="B415" s="15" t="s">
        <v>1959</v>
      </c>
      <c r="C415" s="14">
        <v>4</v>
      </c>
    </row>
    <row r="416" spans="1:3">
      <c r="A416" s="15" t="s">
        <v>2242</v>
      </c>
      <c r="B416" s="15" t="s">
        <v>2243</v>
      </c>
      <c r="C416" s="14">
        <v>4</v>
      </c>
    </row>
    <row r="417" spans="1:3">
      <c r="A417" s="15" t="s">
        <v>2593</v>
      </c>
      <c r="B417" s="15" t="s">
        <v>2592</v>
      </c>
      <c r="C417" s="14">
        <v>4</v>
      </c>
    </row>
    <row r="418" spans="1:3">
      <c r="A418" s="15" t="s">
        <v>2739</v>
      </c>
      <c r="B418" s="15" t="s">
        <v>1960</v>
      </c>
      <c r="C418" s="14">
        <v>4</v>
      </c>
    </row>
    <row r="419" spans="1:3">
      <c r="A419" s="11" t="s">
        <v>2740</v>
      </c>
      <c r="B419" s="11" t="s">
        <v>594</v>
      </c>
      <c r="C419" s="14">
        <v>4</v>
      </c>
    </row>
    <row r="420" spans="1:3">
      <c r="A420" s="11" t="s">
        <v>2741</v>
      </c>
      <c r="B420" s="11" t="s">
        <v>595</v>
      </c>
      <c r="C420" s="14">
        <v>4</v>
      </c>
    </row>
    <row r="421" spans="1:3">
      <c r="A421" s="11" t="s">
        <v>2742</v>
      </c>
      <c r="B421" s="11" t="s">
        <v>596</v>
      </c>
      <c r="C421" s="14">
        <v>4</v>
      </c>
    </row>
    <row r="422" spans="1:3">
      <c r="A422" s="11" t="s">
        <v>2743</v>
      </c>
      <c r="B422" s="11" t="s">
        <v>597</v>
      </c>
      <c r="C422" s="14">
        <v>4</v>
      </c>
    </row>
    <row r="423" spans="1:3">
      <c r="A423" s="11" t="s">
        <v>2744</v>
      </c>
      <c r="B423" s="11" t="s">
        <v>598</v>
      </c>
      <c r="C423" s="14">
        <v>4</v>
      </c>
    </row>
    <row r="424" spans="1:3">
      <c r="A424" s="11" t="s">
        <v>2745</v>
      </c>
      <c r="B424" s="11" t="s">
        <v>599</v>
      </c>
      <c r="C424" s="14">
        <v>4</v>
      </c>
    </row>
    <row r="425" spans="1:3">
      <c r="A425" s="11" t="s">
        <v>2746</v>
      </c>
      <c r="B425" s="11" t="s">
        <v>600</v>
      </c>
      <c r="C425" s="14">
        <v>4</v>
      </c>
    </row>
    <row r="426" spans="1:3">
      <c r="A426" s="11" t="s">
        <v>2747</v>
      </c>
      <c r="B426" s="11" t="s">
        <v>601</v>
      </c>
      <c r="C426" s="14">
        <v>4</v>
      </c>
    </row>
    <row r="427" spans="1:3">
      <c r="A427" s="11" t="s">
        <v>584</v>
      </c>
      <c r="B427" s="11" t="s">
        <v>585</v>
      </c>
      <c r="C427" s="14">
        <v>4</v>
      </c>
    </row>
    <row r="428" spans="1:3">
      <c r="A428" s="11" t="s">
        <v>586</v>
      </c>
      <c r="B428" s="11" t="s">
        <v>587</v>
      </c>
      <c r="C428" s="14">
        <v>4</v>
      </c>
    </row>
    <row r="429" spans="1:3">
      <c r="A429" s="11" t="s">
        <v>588</v>
      </c>
      <c r="B429" s="11" t="s">
        <v>589</v>
      </c>
      <c r="C429" s="14">
        <v>4</v>
      </c>
    </row>
    <row r="430" spans="1:3">
      <c r="A430" s="11" t="s">
        <v>590</v>
      </c>
      <c r="B430" s="11" t="s">
        <v>591</v>
      </c>
      <c r="C430" s="14">
        <v>4</v>
      </c>
    </row>
    <row r="431" spans="1:3">
      <c r="A431" s="11" t="s">
        <v>592</v>
      </c>
      <c r="B431" s="11" t="s">
        <v>593</v>
      </c>
      <c r="C431" s="14">
        <v>4</v>
      </c>
    </row>
    <row r="432" spans="1:3">
      <c r="A432" s="11" t="s">
        <v>2594</v>
      </c>
      <c r="B432" s="11" t="s">
        <v>2595</v>
      </c>
      <c r="C432" s="14">
        <v>4</v>
      </c>
    </row>
    <row r="433" spans="1:3">
      <c r="A433" s="11" t="s">
        <v>602</v>
      </c>
      <c r="B433" s="11" t="s">
        <v>603</v>
      </c>
      <c r="C433" s="14">
        <v>4</v>
      </c>
    </row>
    <row r="434" spans="1:3">
      <c r="A434" s="11" t="s">
        <v>604</v>
      </c>
      <c r="B434" s="11" t="s">
        <v>605</v>
      </c>
      <c r="C434" s="14">
        <v>4</v>
      </c>
    </row>
    <row r="435" spans="1:3">
      <c r="A435" s="11" t="s">
        <v>606</v>
      </c>
      <c r="B435" s="11" t="s">
        <v>607</v>
      </c>
      <c r="C435" s="14">
        <v>4</v>
      </c>
    </row>
    <row r="436" spans="1:3">
      <c r="A436" s="11" t="s">
        <v>608</v>
      </c>
      <c r="B436" s="11" t="s">
        <v>609</v>
      </c>
      <c r="C436" s="14">
        <v>4</v>
      </c>
    </row>
    <row r="437" spans="1:3">
      <c r="A437" s="11" t="s">
        <v>2244</v>
      </c>
      <c r="B437" s="11" t="s">
        <v>2245</v>
      </c>
      <c r="C437" s="14">
        <v>4</v>
      </c>
    </row>
    <row r="438" spans="1:3">
      <c r="A438" s="11" t="s">
        <v>2246</v>
      </c>
      <c r="B438" s="11" t="s">
        <v>2596</v>
      </c>
      <c r="C438" s="14">
        <v>4</v>
      </c>
    </row>
    <row r="439" spans="1:3">
      <c r="A439" s="11" t="s">
        <v>2748</v>
      </c>
      <c r="B439" s="11" t="s">
        <v>610</v>
      </c>
      <c r="C439" s="14">
        <v>4</v>
      </c>
    </row>
    <row r="440" spans="1:3">
      <c r="A440" s="11" t="s">
        <v>2749</v>
      </c>
      <c r="B440" s="11" t="s">
        <v>621</v>
      </c>
      <c r="C440" s="14">
        <v>4</v>
      </c>
    </row>
    <row r="441" spans="1:3">
      <c r="A441" s="11" t="s">
        <v>2750</v>
      </c>
      <c r="B441" s="11" t="s">
        <v>622</v>
      </c>
      <c r="C441" s="14">
        <v>4</v>
      </c>
    </row>
    <row r="442" spans="1:3">
      <c r="A442" s="11" t="s">
        <v>2751</v>
      </c>
      <c r="B442" s="11" t="s">
        <v>623</v>
      </c>
      <c r="C442" s="14">
        <v>4</v>
      </c>
    </row>
    <row r="443" spans="1:3">
      <c r="A443" s="11" t="s">
        <v>2752</v>
      </c>
      <c r="B443" s="11" t="s">
        <v>624</v>
      </c>
      <c r="C443" s="14">
        <v>4</v>
      </c>
    </row>
    <row r="444" spans="1:3">
      <c r="A444" s="11" t="s">
        <v>2753</v>
      </c>
      <c r="B444" s="11" t="s">
        <v>625</v>
      </c>
      <c r="C444" s="14">
        <v>4</v>
      </c>
    </row>
    <row r="445" spans="1:3">
      <c r="A445" s="11" t="s">
        <v>2754</v>
      </c>
      <c r="B445" s="11" t="s">
        <v>626</v>
      </c>
      <c r="C445" s="14">
        <v>4</v>
      </c>
    </row>
    <row r="446" spans="1:3">
      <c r="A446" s="11" t="s">
        <v>2755</v>
      </c>
      <c r="B446" s="11" t="s">
        <v>627</v>
      </c>
      <c r="C446" s="14">
        <v>4</v>
      </c>
    </row>
    <row r="447" spans="1:3">
      <c r="A447" s="11" t="s">
        <v>2756</v>
      </c>
      <c r="B447" s="11" t="s">
        <v>628</v>
      </c>
      <c r="C447" s="14">
        <v>4</v>
      </c>
    </row>
    <row r="448" spans="1:3">
      <c r="A448" s="11" t="s">
        <v>611</v>
      </c>
      <c r="B448" s="11" t="s">
        <v>612</v>
      </c>
      <c r="C448" s="14">
        <v>4</v>
      </c>
    </row>
    <row r="449" spans="1:3">
      <c r="A449" s="11" t="s">
        <v>613</v>
      </c>
      <c r="B449" s="11" t="s">
        <v>614</v>
      </c>
      <c r="C449" s="14">
        <v>4</v>
      </c>
    </row>
    <row r="450" spans="1:3">
      <c r="A450" s="11" t="s">
        <v>615</v>
      </c>
      <c r="B450" s="11" t="s">
        <v>616</v>
      </c>
      <c r="C450" s="14">
        <v>4</v>
      </c>
    </row>
    <row r="451" spans="1:3">
      <c r="A451" s="11" t="s">
        <v>617</v>
      </c>
      <c r="B451" s="11" t="s">
        <v>618</v>
      </c>
      <c r="C451" s="14">
        <v>4</v>
      </c>
    </row>
    <row r="452" spans="1:3">
      <c r="A452" s="11" t="s">
        <v>619</v>
      </c>
      <c r="B452" s="11" t="s">
        <v>620</v>
      </c>
      <c r="C452" s="14">
        <v>4</v>
      </c>
    </row>
    <row r="453" spans="1:3">
      <c r="A453" s="11" t="s">
        <v>2597</v>
      </c>
      <c r="B453" s="11" t="s">
        <v>2598</v>
      </c>
      <c r="C453" s="14">
        <v>4</v>
      </c>
    </row>
    <row r="454" spans="1:3">
      <c r="A454" s="11" t="s">
        <v>629</v>
      </c>
      <c r="B454" s="11" t="s">
        <v>630</v>
      </c>
      <c r="C454" s="14">
        <v>4</v>
      </c>
    </row>
    <row r="455" spans="1:3">
      <c r="A455" s="11" t="s">
        <v>631</v>
      </c>
      <c r="B455" s="11" t="s">
        <v>632</v>
      </c>
      <c r="C455" s="14">
        <v>4</v>
      </c>
    </row>
    <row r="456" spans="1:3">
      <c r="A456" s="11" t="s">
        <v>633</v>
      </c>
      <c r="B456" s="11" t="s">
        <v>634</v>
      </c>
      <c r="C456" s="14">
        <v>4</v>
      </c>
    </row>
    <row r="457" spans="1:3">
      <c r="A457" s="11" t="s">
        <v>635</v>
      </c>
      <c r="B457" s="11" t="s">
        <v>636</v>
      </c>
      <c r="C457" s="14">
        <v>4</v>
      </c>
    </row>
    <row r="458" spans="1:3">
      <c r="A458" s="11" t="s">
        <v>637</v>
      </c>
      <c r="B458" s="11" t="s">
        <v>638</v>
      </c>
      <c r="C458" s="14">
        <v>4</v>
      </c>
    </row>
    <row r="459" spans="1:3">
      <c r="A459" s="11" t="s">
        <v>639</v>
      </c>
      <c r="B459" s="11" t="s">
        <v>640</v>
      </c>
      <c r="C459" s="14">
        <v>4</v>
      </c>
    </row>
    <row r="460" spans="1:3">
      <c r="A460" s="11" t="s">
        <v>2247</v>
      </c>
      <c r="B460" s="11" t="s">
        <v>2249</v>
      </c>
      <c r="C460" s="14">
        <v>4</v>
      </c>
    </row>
    <row r="461" spans="1:3">
      <c r="A461" s="11" t="s">
        <v>2248</v>
      </c>
      <c r="B461" s="11" t="s">
        <v>2599</v>
      </c>
      <c r="C461" s="14">
        <v>4</v>
      </c>
    </row>
    <row r="462" spans="1:3">
      <c r="A462" s="11" t="s">
        <v>641</v>
      </c>
      <c r="B462" s="11" t="s">
        <v>642</v>
      </c>
      <c r="C462" s="14">
        <v>4</v>
      </c>
    </row>
    <row r="463" spans="1:3">
      <c r="A463" s="11" t="s">
        <v>643</v>
      </c>
      <c r="B463" s="11" t="s">
        <v>644</v>
      </c>
      <c r="C463" s="14">
        <v>4</v>
      </c>
    </row>
    <row r="464" spans="1:3">
      <c r="A464" s="11" t="s">
        <v>645</v>
      </c>
      <c r="B464" s="11" t="s">
        <v>646</v>
      </c>
      <c r="C464" s="14">
        <v>4</v>
      </c>
    </row>
    <row r="465" spans="1:3">
      <c r="A465" s="11" t="s">
        <v>647</v>
      </c>
      <c r="B465" s="11" t="s">
        <v>648</v>
      </c>
      <c r="C465" s="14">
        <v>4</v>
      </c>
    </row>
    <row r="466" spans="1:3">
      <c r="A466" s="11" t="s">
        <v>649</v>
      </c>
      <c r="B466" s="11" t="s">
        <v>650</v>
      </c>
      <c r="C466" s="14">
        <v>4</v>
      </c>
    </row>
    <row r="467" spans="1:3">
      <c r="A467" s="11" t="s">
        <v>651</v>
      </c>
      <c r="B467" s="11" t="s">
        <v>652</v>
      </c>
      <c r="C467" s="14">
        <v>4</v>
      </c>
    </row>
    <row r="468" spans="1:3">
      <c r="A468" s="11" t="s">
        <v>653</v>
      </c>
      <c r="B468" s="11" t="s">
        <v>654</v>
      </c>
      <c r="C468" s="14">
        <v>4</v>
      </c>
    </row>
    <row r="469" spans="1:3">
      <c r="A469" s="11" t="s">
        <v>655</v>
      </c>
      <c r="B469" s="11" t="s">
        <v>656</v>
      </c>
      <c r="C469" s="14">
        <v>4</v>
      </c>
    </row>
    <row r="470" spans="1:3">
      <c r="A470" s="11" t="s">
        <v>2250</v>
      </c>
      <c r="B470" s="11" t="s">
        <v>2600</v>
      </c>
      <c r="C470" s="14">
        <v>4</v>
      </c>
    </row>
    <row r="471" spans="1:3">
      <c r="A471" s="11" t="s">
        <v>657</v>
      </c>
      <c r="B471" s="11" t="s">
        <v>658</v>
      </c>
      <c r="C471" s="14">
        <v>4</v>
      </c>
    </row>
    <row r="472" spans="1:3">
      <c r="A472" s="11" t="s">
        <v>659</v>
      </c>
      <c r="B472" s="11" t="s">
        <v>660</v>
      </c>
      <c r="C472" s="14">
        <v>4</v>
      </c>
    </row>
    <row r="473" spans="1:3">
      <c r="A473" s="11" t="s">
        <v>661</v>
      </c>
      <c r="B473" s="11" t="s">
        <v>662</v>
      </c>
      <c r="C473" s="14">
        <v>4</v>
      </c>
    </row>
    <row r="474" spans="1:3">
      <c r="A474" s="11" t="s">
        <v>663</v>
      </c>
      <c r="B474" s="11" t="s">
        <v>664</v>
      </c>
      <c r="C474" s="14">
        <v>4</v>
      </c>
    </row>
    <row r="475" spans="1:3">
      <c r="A475" s="11" t="s">
        <v>665</v>
      </c>
      <c r="B475" s="11" t="s">
        <v>666</v>
      </c>
      <c r="C475" s="14">
        <v>4</v>
      </c>
    </row>
    <row r="476" spans="1:3">
      <c r="A476" s="11" t="s">
        <v>667</v>
      </c>
      <c r="B476" s="11" t="s">
        <v>668</v>
      </c>
      <c r="C476" s="14">
        <v>4</v>
      </c>
    </row>
    <row r="477" spans="1:3">
      <c r="A477" s="11" t="s">
        <v>669</v>
      </c>
      <c r="B477" s="11" t="s">
        <v>670</v>
      </c>
      <c r="C477" s="14">
        <v>4</v>
      </c>
    </row>
    <row r="478" spans="1:3">
      <c r="A478" s="11" t="s">
        <v>671</v>
      </c>
      <c r="B478" s="11" t="s">
        <v>672</v>
      </c>
      <c r="C478" s="14">
        <v>4</v>
      </c>
    </row>
    <row r="479" spans="1:3">
      <c r="A479" s="11" t="s">
        <v>673</v>
      </c>
      <c r="B479" s="11" t="s">
        <v>674</v>
      </c>
      <c r="C479" s="14">
        <v>4</v>
      </c>
    </row>
    <row r="480" spans="1:3">
      <c r="A480" s="11" t="s">
        <v>2251</v>
      </c>
      <c r="B480" s="11" t="s">
        <v>2601</v>
      </c>
      <c r="C480" s="14">
        <v>4</v>
      </c>
    </row>
    <row r="481" spans="1:6">
      <c r="A481" s="11" t="s">
        <v>675</v>
      </c>
      <c r="B481" s="11" t="s">
        <v>676</v>
      </c>
      <c r="C481" s="14">
        <v>4</v>
      </c>
    </row>
    <row r="482" spans="1:6">
      <c r="A482" s="4" t="s">
        <v>677</v>
      </c>
      <c r="B482" s="4" t="s">
        <v>2886</v>
      </c>
      <c r="C482" s="17">
        <v>4</v>
      </c>
      <c r="D482" s="18">
        <v>42292</v>
      </c>
      <c r="E482" s="19" t="s">
        <v>677</v>
      </c>
      <c r="F482" s="19" t="s">
        <v>2898</v>
      </c>
    </row>
    <row r="483" spans="1:6">
      <c r="A483" s="11" t="s">
        <v>678</v>
      </c>
      <c r="B483" s="11" t="s">
        <v>679</v>
      </c>
      <c r="C483" s="14">
        <v>4</v>
      </c>
    </row>
    <row r="484" spans="1:6">
      <c r="A484" s="11" t="s">
        <v>2252</v>
      </c>
      <c r="B484" s="11" t="s">
        <v>2602</v>
      </c>
      <c r="C484" s="14">
        <v>4</v>
      </c>
    </row>
    <row r="485" spans="1:6">
      <c r="A485" s="11" t="s">
        <v>680</v>
      </c>
      <c r="B485" s="11" t="s">
        <v>681</v>
      </c>
      <c r="C485" s="14">
        <v>4</v>
      </c>
    </row>
    <row r="486" spans="1:6">
      <c r="A486" s="11" t="s">
        <v>682</v>
      </c>
      <c r="B486" s="11" t="s">
        <v>683</v>
      </c>
      <c r="C486" s="14">
        <v>4</v>
      </c>
    </row>
    <row r="487" spans="1:6">
      <c r="A487" s="11" t="s">
        <v>684</v>
      </c>
      <c r="B487" s="11" t="s">
        <v>685</v>
      </c>
      <c r="C487" s="14">
        <v>4</v>
      </c>
    </row>
    <row r="488" spans="1:6">
      <c r="A488" s="11" t="s">
        <v>686</v>
      </c>
      <c r="B488" s="11" t="s">
        <v>687</v>
      </c>
      <c r="C488" s="14">
        <v>4</v>
      </c>
    </row>
    <row r="489" spans="1:6">
      <c r="A489" s="11" t="s">
        <v>2253</v>
      </c>
      <c r="B489" s="11" t="s">
        <v>2603</v>
      </c>
      <c r="C489" s="14">
        <v>4</v>
      </c>
    </row>
    <row r="490" spans="1:6">
      <c r="A490" s="15" t="s">
        <v>688</v>
      </c>
      <c r="B490" s="15" t="s">
        <v>689</v>
      </c>
      <c r="C490" s="21">
        <v>4</v>
      </c>
    </row>
    <row r="491" spans="1:6">
      <c r="A491" s="15" t="s">
        <v>690</v>
      </c>
      <c r="B491" s="15" t="s">
        <v>691</v>
      </c>
      <c r="C491" s="21">
        <v>4</v>
      </c>
    </row>
    <row r="492" spans="1:6">
      <c r="A492" s="15" t="s">
        <v>692</v>
      </c>
      <c r="B492" s="15" t="s">
        <v>693</v>
      </c>
      <c r="C492" s="21">
        <v>4</v>
      </c>
    </row>
    <row r="493" spans="1:6">
      <c r="A493" s="15" t="s">
        <v>694</v>
      </c>
      <c r="B493" s="15" t="s">
        <v>695</v>
      </c>
      <c r="C493" s="21">
        <v>4</v>
      </c>
    </row>
    <row r="494" spans="1:6">
      <c r="A494" s="15" t="s">
        <v>696</v>
      </c>
      <c r="B494" s="15" t="s">
        <v>697</v>
      </c>
      <c r="C494" s="21">
        <v>4</v>
      </c>
    </row>
    <row r="495" spans="1:6">
      <c r="A495" s="15" t="s">
        <v>1962</v>
      </c>
      <c r="B495" s="15" t="s">
        <v>1963</v>
      </c>
      <c r="C495" s="21">
        <v>4</v>
      </c>
    </row>
    <row r="496" spans="1:6">
      <c r="A496" s="15" t="s">
        <v>1962</v>
      </c>
      <c r="B496" s="15" t="s">
        <v>1963</v>
      </c>
      <c r="C496" s="21">
        <v>5</v>
      </c>
    </row>
    <row r="497" spans="1:5">
      <c r="A497" s="15" t="s">
        <v>2254</v>
      </c>
      <c r="B497" s="15" t="s">
        <v>2256</v>
      </c>
      <c r="C497" s="21">
        <v>4</v>
      </c>
    </row>
    <row r="498" spans="1:5">
      <c r="A498" s="15" t="s">
        <v>2254</v>
      </c>
      <c r="B498" s="15" t="s">
        <v>2256</v>
      </c>
      <c r="C498" s="21">
        <v>5</v>
      </c>
    </row>
    <row r="499" spans="1:5">
      <c r="A499" s="15" t="s">
        <v>2255</v>
      </c>
      <c r="B499" s="15" t="s">
        <v>2604</v>
      </c>
      <c r="C499" s="21">
        <v>4</v>
      </c>
    </row>
    <row r="500" spans="1:5">
      <c r="A500" s="15" t="s">
        <v>698</v>
      </c>
      <c r="B500" s="15" t="s">
        <v>699</v>
      </c>
      <c r="C500" s="21">
        <v>4</v>
      </c>
    </row>
    <row r="501" spans="1:5">
      <c r="A501" s="15" t="s">
        <v>700</v>
      </c>
      <c r="B501" s="15" t="s">
        <v>701</v>
      </c>
      <c r="C501" s="21">
        <v>4</v>
      </c>
    </row>
    <row r="502" spans="1:5">
      <c r="A502" s="15" t="s">
        <v>702</v>
      </c>
      <c r="B502" s="15" t="s">
        <v>703</v>
      </c>
      <c r="C502" s="21">
        <v>4</v>
      </c>
    </row>
    <row r="503" spans="1:5">
      <c r="A503" s="15" t="s">
        <v>704</v>
      </c>
      <c r="B503" s="15" t="s">
        <v>705</v>
      </c>
      <c r="C503" s="21">
        <v>4</v>
      </c>
    </row>
    <row r="504" spans="1:5">
      <c r="A504" s="15" t="s">
        <v>706</v>
      </c>
      <c r="B504" s="15" t="s">
        <v>707</v>
      </c>
      <c r="C504" s="21">
        <v>5</v>
      </c>
    </row>
    <row r="505" spans="1:5">
      <c r="A505" s="15" t="s">
        <v>708</v>
      </c>
      <c r="B505" s="15" t="s">
        <v>709</v>
      </c>
      <c r="C505" s="21">
        <v>5</v>
      </c>
    </row>
    <row r="506" spans="1:5">
      <c r="A506" s="15" t="s">
        <v>710</v>
      </c>
      <c r="B506" s="15" t="s">
        <v>711</v>
      </c>
      <c r="C506" s="21">
        <v>5</v>
      </c>
    </row>
    <row r="507" spans="1:5">
      <c r="A507" s="15" t="s">
        <v>1965</v>
      </c>
      <c r="B507" s="15" t="s">
        <v>1964</v>
      </c>
      <c r="C507" s="21">
        <v>5</v>
      </c>
    </row>
    <row r="508" spans="1:5">
      <c r="A508" s="15" t="s">
        <v>2257</v>
      </c>
      <c r="B508" s="15" t="s">
        <v>2258</v>
      </c>
      <c r="C508" s="21">
        <v>5</v>
      </c>
    </row>
    <row r="509" spans="1:5">
      <c r="A509" s="15" t="s">
        <v>712</v>
      </c>
      <c r="B509" s="15" t="s">
        <v>713</v>
      </c>
      <c r="C509" s="21">
        <v>5</v>
      </c>
      <c r="D509" s="15"/>
      <c r="E509" s="15"/>
    </row>
    <row r="510" spans="1:5">
      <c r="A510" s="15" t="s">
        <v>714</v>
      </c>
      <c r="B510" s="15" t="s">
        <v>715</v>
      </c>
      <c r="C510" s="21">
        <v>5</v>
      </c>
      <c r="D510" s="15"/>
      <c r="E510" s="15"/>
    </row>
    <row r="511" spans="1:5">
      <c r="A511" s="15" t="s">
        <v>716</v>
      </c>
      <c r="B511" s="15" t="s">
        <v>717</v>
      </c>
      <c r="C511" s="21">
        <v>5</v>
      </c>
      <c r="D511" s="15"/>
      <c r="E511" s="15"/>
    </row>
    <row r="512" spans="1:5">
      <c r="A512" s="15" t="s">
        <v>718</v>
      </c>
      <c r="B512" s="15" t="s">
        <v>719</v>
      </c>
      <c r="C512" s="21">
        <v>5</v>
      </c>
      <c r="D512" s="15"/>
      <c r="E512" s="15"/>
    </row>
    <row r="513" spans="1:5">
      <c r="A513" s="11" t="s">
        <v>2259</v>
      </c>
      <c r="B513" s="11" t="s">
        <v>2260</v>
      </c>
      <c r="C513" s="14">
        <v>5</v>
      </c>
      <c r="D513" s="15"/>
      <c r="E513" s="15"/>
    </row>
    <row r="514" spans="1:5">
      <c r="A514" s="11" t="s">
        <v>720</v>
      </c>
      <c r="B514" s="11" t="s">
        <v>721</v>
      </c>
      <c r="C514" s="14">
        <v>5</v>
      </c>
    </row>
    <row r="515" spans="1:5" ht="15" customHeight="1">
      <c r="A515" s="11" t="s">
        <v>722</v>
      </c>
      <c r="B515" s="11" t="s">
        <v>723</v>
      </c>
      <c r="C515" s="14">
        <v>5</v>
      </c>
    </row>
    <row r="516" spans="1:5">
      <c r="A516" s="11" t="str">
        <f>"03.2"</f>
        <v>03.2</v>
      </c>
      <c r="B516" s="11" t="s">
        <v>1966</v>
      </c>
      <c r="C516" s="14">
        <v>4</v>
      </c>
    </row>
    <row r="517" spans="1:5">
      <c r="A517" s="11" t="str">
        <f>"03.2"</f>
        <v>03.2</v>
      </c>
      <c r="B517" s="11" t="s">
        <v>1966</v>
      </c>
      <c r="C517" s="14">
        <v>5</v>
      </c>
    </row>
    <row r="518" spans="1:5">
      <c r="A518" s="11" t="s">
        <v>1967</v>
      </c>
      <c r="B518" s="11" t="s">
        <v>1968</v>
      </c>
      <c r="C518" s="14">
        <v>4</v>
      </c>
    </row>
    <row r="519" spans="1:5">
      <c r="A519" s="11" t="s">
        <v>2261</v>
      </c>
      <c r="B519" s="11" t="s">
        <v>2262</v>
      </c>
      <c r="C519" s="14">
        <v>4</v>
      </c>
    </row>
    <row r="520" spans="1:5">
      <c r="A520" s="11" t="s">
        <v>724</v>
      </c>
      <c r="B520" s="11" t="s">
        <v>725</v>
      </c>
      <c r="C520" s="14">
        <v>4</v>
      </c>
    </row>
    <row r="521" spans="1:5">
      <c r="A521" s="11" t="s">
        <v>726</v>
      </c>
      <c r="B521" s="11" t="s">
        <v>727</v>
      </c>
      <c r="C521" s="14">
        <v>4</v>
      </c>
    </row>
    <row r="522" spans="1:5">
      <c r="A522" s="11" t="s">
        <v>728</v>
      </c>
      <c r="B522" s="11" t="s">
        <v>729</v>
      </c>
      <c r="C522" s="14">
        <v>4</v>
      </c>
    </row>
    <row r="523" spans="1:5">
      <c r="A523" s="11" t="s">
        <v>730</v>
      </c>
      <c r="B523" s="11" t="s">
        <v>731</v>
      </c>
      <c r="C523" s="14">
        <v>4</v>
      </c>
    </row>
    <row r="524" spans="1:5">
      <c r="A524" s="11" t="s">
        <v>2263</v>
      </c>
      <c r="B524" s="11" t="s">
        <v>2264</v>
      </c>
      <c r="C524" s="14">
        <v>4</v>
      </c>
    </row>
    <row r="525" spans="1:5">
      <c r="A525" s="11" t="s">
        <v>732</v>
      </c>
      <c r="B525" s="11" t="s">
        <v>733</v>
      </c>
      <c r="C525" s="14">
        <v>4</v>
      </c>
    </row>
    <row r="526" spans="1:5">
      <c r="A526" s="11" t="s">
        <v>734</v>
      </c>
      <c r="B526" s="11" t="s">
        <v>735</v>
      </c>
      <c r="C526" s="14">
        <v>4</v>
      </c>
    </row>
    <row r="527" spans="1:5">
      <c r="A527" s="11" t="s">
        <v>736</v>
      </c>
      <c r="B527" s="11" t="s">
        <v>737</v>
      </c>
      <c r="C527" s="14">
        <v>4</v>
      </c>
    </row>
    <row r="528" spans="1:5">
      <c r="A528" s="11" t="s">
        <v>738</v>
      </c>
      <c r="B528" s="11" t="s">
        <v>739</v>
      </c>
      <c r="C528" s="14">
        <v>4</v>
      </c>
    </row>
    <row r="529" spans="1:3">
      <c r="A529" s="11" t="s">
        <v>740</v>
      </c>
      <c r="B529" s="11" t="s">
        <v>741</v>
      </c>
      <c r="C529" s="14">
        <v>4</v>
      </c>
    </row>
    <row r="530" spans="1:3">
      <c r="A530" s="11" t="s">
        <v>742</v>
      </c>
      <c r="B530" s="11" t="s">
        <v>743</v>
      </c>
      <c r="C530" s="14">
        <v>4</v>
      </c>
    </row>
    <row r="531" spans="1:3">
      <c r="A531" s="11" t="s">
        <v>2265</v>
      </c>
      <c r="B531" s="11" t="s">
        <v>2266</v>
      </c>
      <c r="C531" s="14">
        <v>4</v>
      </c>
    </row>
    <row r="532" spans="1:3">
      <c r="A532" s="11" t="s">
        <v>744</v>
      </c>
      <c r="B532" s="11" t="s">
        <v>745</v>
      </c>
      <c r="C532" s="14">
        <v>4</v>
      </c>
    </row>
    <row r="533" spans="1:3">
      <c r="A533" s="11" t="s">
        <v>746</v>
      </c>
      <c r="B533" s="11" t="s">
        <v>747</v>
      </c>
      <c r="C533" s="14">
        <v>4</v>
      </c>
    </row>
    <row r="534" spans="1:3">
      <c r="A534" s="11" t="s">
        <v>748</v>
      </c>
      <c r="B534" s="11" t="s">
        <v>749</v>
      </c>
      <c r="C534" s="14">
        <v>4</v>
      </c>
    </row>
    <row r="535" spans="1:3">
      <c r="A535" s="11" t="s">
        <v>750</v>
      </c>
      <c r="B535" s="11" t="s">
        <v>751</v>
      </c>
      <c r="C535" s="14">
        <v>4</v>
      </c>
    </row>
    <row r="536" spans="1:3">
      <c r="A536" s="11" t="s">
        <v>1969</v>
      </c>
      <c r="B536" s="11" t="s">
        <v>1970</v>
      </c>
      <c r="C536" s="14">
        <v>5</v>
      </c>
    </row>
    <row r="537" spans="1:3">
      <c r="A537" s="11" t="s">
        <v>2267</v>
      </c>
      <c r="B537" s="11" t="s">
        <v>1970</v>
      </c>
      <c r="C537" s="14">
        <v>5</v>
      </c>
    </row>
    <row r="538" spans="1:3">
      <c r="A538" s="15" t="s">
        <v>752</v>
      </c>
      <c r="B538" s="15" t="s">
        <v>753</v>
      </c>
      <c r="C538" s="21">
        <v>5</v>
      </c>
    </row>
    <row r="539" spans="1:3">
      <c r="A539" s="15" t="s">
        <v>754</v>
      </c>
      <c r="B539" s="15" t="s">
        <v>755</v>
      </c>
      <c r="C539" s="21">
        <v>5</v>
      </c>
    </row>
    <row r="540" spans="1:3">
      <c r="A540" s="15" t="s">
        <v>756</v>
      </c>
      <c r="B540" s="15" t="s">
        <v>757</v>
      </c>
      <c r="C540" s="21">
        <v>5</v>
      </c>
    </row>
    <row r="541" spans="1:3">
      <c r="A541" s="15" t="str">
        <f>"04"</f>
        <v>04</v>
      </c>
      <c r="B541" s="22" t="s">
        <v>1972</v>
      </c>
      <c r="C541" s="23">
        <v>5</v>
      </c>
    </row>
    <row r="542" spans="1:3">
      <c r="A542" s="15" t="str">
        <f>"04.1"</f>
        <v>04.1</v>
      </c>
      <c r="B542" s="15" t="s">
        <v>1971</v>
      </c>
      <c r="C542" s="21">
        <v>5</v>
      </c>
    </row>
    <row r="543" spans="1:3">
      <c r="A543" s="15" t="s">
        <v>2268</v>
      </c>
      <c r="B543" s="15" t="s">
        <v>2269</v>
      </c>
      <c r="C543" s="21">
        <v>5</v>
      </c>
    </row>
    <row r="544" spans="1:3">
      <c r="A544" s="15" t="s">
        <v>758</v>
      </c>
      <c r="B544" s="15" t="s">
        <v>759</v>
      </c>
      <c r="C544" s="21">
        <v>5</v>
      </c>
    </row>
    <row r="545" spans="1:6">
      <c r="A545" s="15" t="s">
        <v>760</v>
      </c>
      <c r="B545" s="15" t="s">
        <v>761</v>
      </c>
      <c r="C545" s="21">
        <v>5</v>
      </c>
    </row>
    <row r="546" spans="1:6">
      <c r="A546" s="15" t="s">
        <v>762</v>
      </c>
      <c r="B546" s="15" t="s">
        <v>763</v>
      </c>
      <c r="C546" s="21">
        <v>5</v>
      </c>
    </row>
    <row r="547" spans="1:6">
      <c r="A547" s="15" t="s">
        <v>2270</v>
      </c>
      <c r="B547" s="15" t="s">
        <v>2272</v>
      </c>
      <c r="C547" s="21">
        <v>5</v>
      </c>
    </row>
    <row r="548" spans="1:6">
      <c r="A548" s="15" t="s">
        <v>2271</v>
      </c>
      <c r="B548" s="15" t="s">
        <v>2273</v>
      </c>
      <c r="C548" s="21">
        <v>5</v>
      </c>
    </row>
    <row r="549" spans="1:6">
      <c r="A549" s="11" t="s">
        <v>764</v>
      </c>
      <c r="B549" s="11" t="s">
        <v>765</v>
      </c>
      <c r="C549" s="14">
        <v>5</v>
      </c>
    </row>
    <row r="550" spans="1:6">
      <c r="A550" s="11" t="s">
        <v>766</v>
      </c>
      <c r="B550" s="11" t="s">
        <v>767</v>
      </c>
      <c r="C550" s="14">
        <v>5</v>
      </c>
    </row>
    <row r="551" spans="1:6">
      <c r="A551" s="11" t="str">
        <f>"04.2"</f>
        <v>04.2</v>
      </c>
      <c r="B551" s="11" t="s">
        <v>2274</v>
      </c>
      <c r="C551" s="14">
        <v>5</v>
      </c>
      <c r="F551" s="24"/>
    </row>
    <row r="552" spans="1:6">
      <c r="A552" s="11" t="s">
        <v>768</v>
      </c>
      <c r="B552" s="11" t="s">
        <v>769</v>
      </c>
      <c r="C552" s="14">
        <v>5</v>
      </c>
    </row>
    <row r="553" spans="1:6">
      <c r="A553" s="11" t="str">
        <f>"04.3"</f>
        <v>04.3</v>
      </c>
      <c r="B553" s="25" t="s">
        <v>1973</v>
      </c>
      <c r="C553" s="14">
        <v>5</v>
      </c>
    </row>
    <row r="554" spans="1:6">
      <c r="A554" s="11" t="s">
        <v>1974</v>
      </c>
      <c r="B554" s="11" t="s">
        <v>1975</v>
      </c>
      <c r="C554" s="14">
        <v>5</v>
      </c>
    </row>
    <row r="555" spans="1:6">
      <c r="A555" s="15" t="s">
        <v>2275</v>
      </c>
      <c r="B555" s="11" t="s">
        <v>1975</v>
      </c>
      <c r="C555" s="14">
        <v>5</v>
      </c>
    </row>
    <row r="556" spans="1:6">
      <c r="A556" s="11" t="s">
        <v>2823</v>
      </c>
      <c r="B556" s="11" t="s">
        <v>770</v>
      </c>
      <c r="C556" s="14">
        <v>5</v>
      </c>
    </row>
    <row r="557" spans="1:6">
      <c r="A557" s="11" t="s">
        <v>2824</v>
      </c>
      <c r="B557" s="11" t="s">
        <v>773</v>
      </c>
      <c r="C557" s="14">
        <v>5</v>
      </c>
    </row>
    <row r="558" spans="1:6">
      <c r="A558" s="11" t="s">
        <v>2825</v>
      </c>
      <c r="B558" s="11" t="s">
        <v>774</v>
      </c>
      <c r="C558" s="14">
        <v>5</v>
      </c>
    </row>
    <row r="559" spans="1:6">
      <c r="A559" s="11" t="s">
        <v>2826</v>
      </c>
      <c r="B559" s="11" t="s">
        <v>775</v>
      </c>
      <c r="C559" s="14">
        <v>5</v>
      </c>
    </row>
    <row r="560" spans="1:6">
      <c r="A560" s="11" t="s">
        <v>2827</v>
      </c>
      <c r="B560" s="11" t="s">
        <v>776</v>
      </c>
      <c r="C560" s="14">
        <v>5</v>
      </c>
    </row>
    <row r="561" spans="1:3">
      <c r="A561" s="11" t="s">
        <v>2828</v>
      </c>
      <c r="B561" s="11" t="s">
        <v>777</v>
      </c>
      <c r="C561" s="14">
        <v>5</v>
      </c>
    </row>
    <row r="562" spans="1:3">
      <c r="A562" s="11" t="s">
        <v>2829</v>
      </c>
      <c r="B562" s="11" t="s">
        <v>778</v>
      </c>
      <c r="C562" s="14">
        <v>5</v>
      </c>
    </row>
    <row r="563" spans="1:3">
      <c r="A563" s="11" t="s">
        <v>2830</v>
      </c>
      <c r="B563" s="11" t="s">
        <v>779</v>
      </c>
      <c r="C563" s="14">
        <v>5</v>
      </c>
    </row>
    <row r="564" spans="1:3">
      <c r="A564" s="11" t="s">
        <v>2831</v>
      </c>
      <c r="B564" s="11" t="s">
        <v>780</v>
      </c>
      <c r="C564" s="14">
        <v>5</v>
      </c>
    </row>
    <row r="565" spans="1:3">
      <c r="A565" s="11" t="s">
        <v>771</v>
      </c>
      <c r="B565" s="11" t="s">
        <v>772</v>
      </c>
      <c r="C565" s="14">
        <v>5</v>
      </c>
    </row>
    <row r="566" spans="1:3">
      <c r="A566" s="11" t="s">
        <v>2812</v>
      </c>
      <c r="B566" s="11" t="s">
        <v>1920</v>
      </c>
      <c r="C566" s="14">
        <v>5</v>
      </c>
    </row>
    <row r="567" spans="1:3">
      <c r="A567" s="11" t="s">
        <v>2813</v>
      </c>
      <c r="B567" s="11" t="s">
        <v>1921</v>
      </c>
      <c r="C567" s="14">
        <v>5</v>
      </c>
    </row>
    <row r="568" spans="1:3">
      <c r="A568" s="11" t="s">
        <v>1977</v>
      </c>
      <c r="B568" s="25" t="s">
        <v>1976</v>
      </c>
      <c r="C568" s="14">
        <v>5</v>
      </c>
    </row>
    <row r="569" spans="1:3">
      <c r="A569" s="11" t="s">
        <v>781</v>
      </c>
      <c r="B569" s="11" t="s">
        <v>782</v>
      </c>
      <c r="C569" s="14">
        <v>5</v>
      </c>
    </row>
    <row r="570" spans="1:3">
      <c r="A570" s="11" t="s">
        <v>783</v>
      </c>
      <c r="B570" s="11" t="s">
        <v>784</v>
      </c>
      <c r="C570" s="14">
        <v>5</v>
      </c>
    </row>
    <row r="571" spans="1:3">
      <c r="A571" s="11" t="s">
        <v>785</v>
      </c>
      <c r="B571" s="11" t="s">
        <v>786</v>
      </c>
      <c r="C571" s="14">
        <v>5</v>
      </c>
    </row>
    <row r="572" spans="1:3">
      <c r="A572" s="11" t="s">
        <v>2276</v>
      </c>
      <c r="B572" s="11" t="s">
        <v>2277</v>
      </c>
      <c r="C572" s="14">
        <v>5</v>
      </c>
    </row>
    <row r="573" spans="1:3">
      <c r="A573" s="11" t="s">
        <v>787</v>
      </c>
      <c r="B573" s="11" t="s">
        <v>788</v>
      </c>
      <c r="C573" s="14">
        <v>5</v>
      </c>
    </row>
    <row r="574" spans="1:3">
      <c r="A574" s="11" t="s">
        <v>789</v>
      </c>
      <c r="B574" s="11" t="s">
        <v>790</v>
      </c>
      <c r="C574" s="14">
        <v>5</v>
      </c>
    </row>
    <row r="575" spans="1:3">
      <c r="A575" s="11" t="s">
        <v>791</v>
      </c>
      <c r="B575" s="11" t="s">
        <v>792</v>
      </c>
      <c r="C575" s="14">
        <v>5</v>
      </c>
    </row>
    <row r="576" spans="1:3">
      <c r="A576" s="11" t="s">
        <v>2278</v>
      </c>
      <c r="B576" s="11" t="s">
        <v>2279</v>
      </c>
      <c r="C576" s="14">
        <v>5</v>
      </c>
    </row>
    <row r="577" spans="1:3">
      <c r="A577" s="11" t="s">
        <v>793</v>
      </c>
      <c r="B577" s="11" t="s">
        <v>794</v>
      </c>
      <c r="C577" s="14">
        <v>5</v>
      </c>
    </row>
    <row r="578" spans="1:3" ht="15" customHeight="1">
      <c r="A578" s="11" t="s">
        <v>795</v>
      </c>
      <c r="B578" s="11" t="s">
        <v>796</v>
      </c>
      <c r="C578" s="14">
        <v>5</v>
      </c>
    </row>
    <row r="579" spans="1:3">
      <c r="A579" s="11" t="s">
        <v>797</v>
      </c>
      <c r="B579" s="11" t="s">
        <v>798</v>
      </c>
      <c r="C579" s="14">
        <v>5</v>
      </c>
    </row>
    <row r="580" spans="1:3">
      <c r="A580" s="11" t="s">
        <v>799</v>
      </c>
      <c r="B580" s="11" t="s">
        <v>800</v>
      </c>
      <c r="C580" s="14">
        <v>5</v>
      </c>
    </row>
    <row r="581" spans="1:3">
      <c r="A581" s="11" t="s">
        <v>801</v>
      </c>
      <c r="B581" s="11" t="s">
        <v>802</v>
      </c>
      <c r="C581" s="14">
        <v>5</v>
      </c>
    </row>
    <row r="582" spans="1:3">
      <c r="A582" s="11" t="str">
        <f>"04.4"</f>
        <v>04.4</v>
      </c>
      <c r="B582" s="25" t="s">
        <v>1979</v>
      </c>
      <c r="C582" s="24">
        <v>5</v>
      </c>
    </row>
    <row r="583" spans="1:3">
      <c r="A583" s="11" t="s">
        <v>1978</v>
      </c>
      <c r="B583" s="11" t="s">
        <v>1980</v>
      </c>
      <c r="C583" s="14">
        <v>5</v>
      </c>
    </row>
    <row r="584" spans="1:3">
      <c r="A584" s="11" t="s">
        <v>2280</v>
      </c>
      <c r="B584" s="11" t="s">
        <v>1980</v>
      </c>
      <c r="C584" s="14">
        <v>5</v>
      </c>
    </row>
    <row r="585" spans="1:3" ht="18.75" customHeight="1">
      <c r="A585" s="11" t="s">
        <v>803</v>
      </c>
      <c r="B585" s="11" t="s">
        <v>804</v>
      </c>
      <c r="C585" s="14">
        <v>5</v>
      </c>
    </row>
    <row r="586" spans="1:3" ht="18.75" customHeight="1">
      <c r="A586" s="11" t="s">
        <v>805</v>
      </c>
      <c r="B586" s="11" t="s">
        <v>806</v>
      </c>
      <c r="C586" s="14">
        <v>5</v>
      </c>
    </row>
    <row r="587" spans="1:3">
      <c r="A587" s="11" t="s">
        <v>1981</v>
      </c>
      <c r="B587" s="11" t="s">
        <v>1982</v>
      </c>
      <c r="C587" s="14">
        <v>5</v>
      </c>
    </row>
    <row r="588" spans="1:3">
      <c r="A588" s="11" t="s">
        <v>2281</v>
      </c>
      <c r="B588" s="11" t="s">
        <v>1982</v>
      </c>
      <c r="C588" s="14">
        <v>5</v>
      </c>
    </row>
    <row r="589" spans="1:3">
      <c r="A589" s="11" t="s">
        <v>807</v>
      </c>
      <c r="B589" s="11" t="s">
        <v>808</v>
      </c>
      <c r="C589" s="14">
        <v>5</v>
      </c>
    </row>
    <row r="590" spans="1:3">
      <c r="A590" s="11" t="s">
        <v>809</v>
      </c>
      <c r="B590" s="11" t="s">
        <v>810</v>
      </c>
      <c r="C590" s="14">
        <v>5</v>
      </c>
    </row>
    <row r="591" spans="1:3">
      <c r="A591" s="15" t="s">
        <v>811</v>
      </c>
      <c r="B591" s="15" t="s">
        <v>812</v>
      </c>
      <c r="C591" s="21">
        <v>5</v>
      </c>
    </row>
    <row r="592" spans="1:3">
      <c r="A592" s="15" t="s">
        <v>1985</v>
      </c>
      <c r="B592" s="15" t="s">
        <v>1984</v>
      </c>
      <c r="C592" s="21">
        <v>5</v>
      </c>
    </row>
    <row r="593" spans="1:3">
      <c r="A593" s="15" t="s">
        <v>2282</v>
      </c>
      <c r="B593" s="15" t="s">
        <v>1984</v>
      </c>
      <c r="C593" s="21">
        <v>5</v>
      </c>
    </row>
    <row r="594" spans="1:3">
      <c r="A594" s="15" t="s">
        <v>813</v>
      </c>
      <c r="B594" s="15" t="s">
        <v>1983</v>
      </c>
      <c r="C594" s="21">
        <v>5</v>
      </c>
    </row>
    <row r="595" spans="1:3">
      <c r="A595" s="15" t="s">
        <v>1987</v>
      </c>
      <c r="B595" s="22" t="s">
        <v>1986</v>
      </c>
      <c r="C595" s="23">
        <v>5</v>
      </c>
    </row>
    <row r="596" spans="1:3">
      <c r="A596" s="15" t="s">
        <v>2283</v>
      </c>
      <c r="B596" s="22" t="s">
        <v>2284</v>
      </c>
      <c r="C596" s="23">
        <v>5</v>
      </c>
    </row>
    <row r="597" spans="1:3">
      <c r="A597" s="15" t="s">
        <v>814</v>
      </c>
      <c r="B597" s="15" t="s">
        <v>815</v>
      </c>
      <c r="C597" s="21">
        <v>5</v>
      </c>
    </row>
    <row r="598" spans="1:3">
      <c r="A598" s="15" t="s">
        <v>816</v>
      </c>
      <c r="B598" s="15" t="s">
        <v>817</v>
      </c>
      <c r="C598" s="21">
        <v>5</v>
      </c>
    </row>
    <row r="599" spans="1:3">
      <c r="A599" s="15" t="s">
        <v>818</v>
      </c>
      <c r="B599" s="15" t="s">
        <v>819</v>
      </c>
      <c r="C599" s="21">
        <v>5</v>
      </c>
    </row>
    <row r="600" spans="1:3">
      <c r="A600" s="15" t="s">
        <v>820</v>
      </c>
      <c r="B600" s="15" t="s">
        <v>821</v>
      </c>
      <c r="C600" s="21">
        <v>5</v>
      </c>
    </row>
    <row r="601" spans="1:3">
      <c r="A601" s="11" t="str">
        <f>"04.5"</f>
        <v>04.5</v>
      </c>
      <c r="B601" s="25" t="s">
        <v>1988</v>
      </c>
      <c r="C601" s="24">
        <v>5</v>
      </c>
    </row>
    <row r="602" spans="1:3">
      <c r="A602" s="15" t="s">
        <v>822</v>
      </c>
      <c r="B602" s="15" t="s">
        <v>823</v>
      </c>
      <c r="C602" s="14">
        <v>5</v>
      </c>
    </row>
    <row r="603" spans="1:3">
      <c r="A603" s="15" t="s">
        <v>1989</v>
      </c>
      <c r="B603" s="15" t="s">
        <v>1990</v>
      </c>
      <c r="C603" s="14">
        <v>5</v>
      </c>
    </row>
    <row r="604" spans="1:3">
      <c r="A604" s="15" t="s">
        <v>2285</v>
      </c>
      <c r="B604" s="15" t="s">
        <v>2286</v>
      </c>
      <c r="C604" s="14">
        <v>5</v>
      </c>
    </row>
    <row r="605" spans="1:3">
      <c r="A605" s="15" t="s">
        <v>824</v>
      </c>
      <c r="B605" s="15" t="s">
        <v>825</v>
      </c>
      <c r="C605" s="14">
        <v>5</v>
      </c>
    </row>
    <row r="606" spans="1:3">
      <c r="A606" s="15" t="s">
        <v>826</v>
      </c>
      <c r="B606" s="15" t="s">
        <v>827</v>
      </c>
      <c r="C606" s="14">
        <v>5</v>
      </c>
    </row>
    <row r="607" spans="1:3">
      <c r="A607" s="15" t="s">
        <v>1991</v>
      </c>
      <c r="B607" s="15" t="s">
        <v>1992</v>
      </c>
      <c r="C607" s="14">
        <v>5</v>
      </c>
    </row>
    <row r="608" spans="1:3">
      <c r="A608" s="15" t="s">
        <v>2287</v>
      </c>
      <c r="B608" s="15" t="s">
        <v>1992</v>
      </c>
      <c r="C608" s="14">
        <v>5</v>
      </c>
    </row>
    <row r="609" spans="1:3">
      <c r="A609" s="15" t="s">
        <v>2631</v>
      </c>
      <c r="B609" s="15" t="s">
        <v>2630</v>
      </c>
      <c r="C609" s="14">
        <v>5</v>
      </c>
    </row>
    <row r="610" spans="1:3">
      <c r="A610" s="15" t="s">
        <v>828</v>
      </c>
      <c r="B610" s="15" t="s">
        <v>829</v>
      </c>
      <c r="C610" s="14">
        <v>5</v>
      </c>
    </row>
    <row r="611" spans="1:3">
      <c r="A611" s="15" t="s">
        <v>830</v>
      </c>
      <c r="B611" s="15" t="s">
        <v>831</v>
      </c>
      <c r="C611" s="14">
        <v>5</v>
      </c>
    </row>
    <row r="612" spans="1:3">
      <c r="A612" s="15" t="s">
        <v>832</v>
      </c>
      <c r="B612" s="15" t="s">
        <v>833</v>
      </c>
      <c r="C612" s="14">
        <v>5</v>
      </c>
    </row>
    <row r="613" spans="1:3">
      <c r="A613" s="15" t="s">
        <v>1993</v>
      </c>
      <c r="B613" s="15" t="s">
        <v>1994</v>
      </c>
      <c r="C613" s="14">
        <v>5</v>
      </c>
    </row>
    <row r="614" spans="1:3">
      <c r="A614" s="15" t="s">
        <v>2288</v>
      </c>
      <c r="B614" s="15" t="s">
        <v>2570</v>
      </c>
      <c r="C614" s="14">
        <v>5</v>
      </c>
    </row>
    <row r="615" spans="1:3">
      <c r="A615" s="15" t="s">
        <v>834</v>
      </c>
      <c r="B615" s="15" t="s">
        <v>835</v>
      </c>
      <c r="C615" s="14">
        <v>5</v>
      </c>
    </row>
    <row r="616" spans="1:3">
      <c r="A616" s="15" t="s">
        <v>836</v>
      </c>
      <c r="B616" s="15" t="s">
        <v>837</v>
      </c>
      <c r="C616" s="14">
        <v>5</v>
      </c>
    </row>
    <row r="617" spans="1:3">
      <c r="A617" s="15" t="s">
        <v>2568</v>
      </c>
      <c r="B617" s="15" t="s">
        <v>2569</v>
      </c>
      <c r="C617" s="21">
        <v>5</v>
      </c>
    </row>
    <row r="618" spans="1:3">
      <c r="A618" s="15" t="s">
        <v>838</v>
      </c>
      <c r="B618" s="15" t="s">
        <v>839</v>
      </c>
      <c r="C618" s="21">
        <v>5</v>
      </c>
    </row>
    <row r="619" spans="1:3" s="15" customFormat="1">
      <c r="A619" s="15" t="s">
        <v>840</v>
      </c>
      <c r="B619" s="15" t="s">
        <v>841</v>
      </c>
      <c r="C619" s="21">
        <v>5</v>
      </c>
    </row>
    <row r="620" spans="1:3" s="15" customFormat="1">
      <c r="A620" s="15" t="s">
        <v>842</v>
      </c>
      <c r="B620" s="15" t="s">
        <v>843</v>
      </c>
      <c r="C620" s="21">
        <v>5</v>
      </c>
    </row>
    <row r="621" spans="1:3" s="15" customFormat="1">
      <c r="A621" s="15" t="s">
        <v>844</v>
      </c>
      <c r="B621" s="15" t="s">
        <v>845</v>
      </c>
      <c r="C621" s="21">
        <v>5</v>
      </c>
    </row>
    <row r="622" spans="1:3" s="15" customFormat="1">
      <c r="A622" s="15" t="s">
        <v>846</v>
      </c>
      <c r="B622" s="15" t="s">
        <v>847</v>
      </c>
      <c r="C622" s="14">
        <v>5</v>
      </c>
    </row>
    <row r="623" spans="1:3" s="15" customFormat="1">
      <c r="A623" s="15" t="s">
        <v>848</v>
      </c>
      <c r="B623" s="15" t="s">
        <v>849</v>
      </c>
      <c r="C623" s="14">
        <v>5</v>
      </c>
    </row>
    <row r="624" spans="1:3">
      <c r="A624" s="15" t="s">
        <v>850</v>
      </c>
      <c r="B624" s="15" t="s">
        <v>851</v>
      </c>
      <c r="C624" s="14">
        <v>5</v>
      </c>
    </row>
    <row r="625" spans="1:3">
      <c r="A625" s="15" t="s">
        <v>852</v>
      </c>
      <c r="B625" s="15" t="s">
        <v>853</v>
      </c>
      <c r="C625" s="14">
        <v>5</v>
      </c>
    </row>
    <row r="626" spans="1:3">
      <c r="A626" s="11" t="s">
        <v>854</v>
      </c>
      <c r="B626" s="11" t="s">
        <v>855</v>
      </c>
      <c r="C626" s="14">
        <v>5</v>
      </c>
    </row>
    <row r="627" spans="1:3">
      <c r="A627" s="11" t="str">
        <f>"05"</f>
        <v>05</v>
      </c>
      <c r="B627" s="11" t="s">
        <v>1995</v>
      </c>
      <c r="C627" s="14">
        <v>5</v>
      </c>
    </row>
    <row r="628" spans="1:3">
      <c r="A628" s="11" t="str">
        <f>"05.1"</f>
        <v>05.1</v>
      </c>
      <c r="B628" s="11" t="s">
        <v>1996</v>
      </c>
      <c r="C628" s="14">
        <v>5</v>
      </c>
    </row>
    <row r="629" spans="1:3">
      <c r="A629" s="11" t="s">
        <v>1997</v>
      </c>
      <c r="B629" s="11" t="s">
        <v>1998</v>
      </c>
      <c r="C629" s="14">
        <v>5</v>
      </c>
    </row>
    <row r="630" spans="1:3">
      <c r="A630" s="11" t="s">
        <v>2289</v>
      </c>
      <c r="B630" s="11" t="s">
        <v>2290</v>
      </c>
      <c r="C630" s="14">
        <v>5</v>
      </c>
    </row>
    <row r="631" spans="1:3">
      <c r="A631" s="11" t="s">
        <v>2757</v>
      </c>
      <c r="B631" s="11" t="s">
        <v>856</v>
      </c>
      <c r="C631" s="14">
        <v>5</v>
      </c>
    </row>
    <row r="632" spans="1:3">
      <c r="A632" s="11" t="s">
        <v>2758</v>
      </c>
      <c r="B632" s="11" t="s">
        <v>861</v>
      </c>
      <c r="C632" s="14">
        <v>5</v>
      </c>
    </row>
    <row r="633" spans="1:3">
      <c r="A633" s="11" t="s">
        <v>2759</v>
      </c>
      <c r="B633" s="11" t="s">
        <v>862</v>
      </c>
      <c r="C633" s="14">
        <v>5</v>
      </c>
    </row>
    <row r="634" spans="1:3">
      <c r="A634" s="11" t="s">
        <v>2760</v>
      </c>
      <c r="B634" s="11" t="s">
        <v>863</v>
      </c>
      <c r="C634" s="14">
        <v>5</v>
      </c>
    </row>
    <row r="635" spans="1:3">
      <c r="A635" s="11" t="s">
        <v>2761</v>
      </c>
      <c r="B635" s="11" t="s">
        <v>864</v>
      </c>
      <c r="C635" s="14">
        <v>5</v>
      </c>
    </row>
    <row r="636" spans="1:3">
      <c r="A636" s="11" t="s">
        <v>2762</v>
      </c>
      <c r="B636" s="11" t="s">
        <v>865</v>
      </c>
      <c r="C636" s="14">
        <v>5</v>
      </c>
    </row>
    <row r="637" spans="1:3">
      <c r="A637" s="11" t="s">
        <v>2763</v>
      </c>
      <c r="B637" s="11" t="s">
        <v>866</v>
      </c>
      <c r="C637" s="14">
        <v>5</v>
      </c>
    </row>
    <row r="638" spans="1:3">
      <c r="A638" s="11" t="s">
        <v>2764</v>
      </c>
      <c r="B638" s="11" t="s">
        <v>867</v>
      </c>
      <c r="C638" s="14">
        <v>5</v>
      </c>
    </row>
    <row r="639" spans="1:3">
      <c r="A639" s="11" t="s">
        <v>2765</v>
      </c>
      <c r="B639" s="11" t="s">
        <v>868</v>
      </c>
      <c r="C639" s="14">
        <v>5</v>
      </c>
    </row>
    <row r="640" spans="1:3">
      <c r="A640" s="11" t="s">
        <v>857</v>
      </c>
      <c r="B640" s="11" t="s">
        <v>858</v>
      </c>
      <c r="C640" s="14">
        <v>5</v>
      </c>
    </row>
    <row r="641" spans="1:3">
      <c r="A641" s="11" t="s">
        <v>859</v>
      </c>
      <c r="B641" s="11" t="s">
        <v>860</v>
      </c>
      <c r="C641" s="14">
        <v>5</v>
      </c>
    </row>
    <row r="642" spans="1:3">
      <c r="A642" s="11" t="s">
        <v>869</v>
      </c>
      <c r="B642" s="11" t="s">
        <v>870</v>
      </c>
      <c r="C642" s="14">
        <v>5</v>
      </c>
    </row>
    <row r="643" spans="1:3">
      <c r="A643" s="11" t="s">
        <v>2291</v>
      </c>
      <c r="B643" s="11" t="s">
        <v>2292</v>
      </c>
      <c r="C643" s="14">
        <v>5</v>
      </c>
    </row>
    <row r="644" spans="1:3">
      <c r="A644" s="11" t="s">
        <v>871</v>
      </c>
      <c r="B644" s="11" t="s">
        <v>872</v>
      </c>
      <c r="C644" s="14">
        <v>5</v>
      </c>
    </row>
    <row r="645" spans="1:3">
      <c r="A645" s="11" t="s">
        <v>873</v>
      </c>
      <c r="B645" s="11" t="s">
        <v>874</v>
      </c>
      <c r="C645" s="14">
        <v>5</v>
      </c>
    </row>
    <row r="646" spans="1:3">
      <c r="A646" s="11" t="s">
        <v>2293</v>
      </c>
      <c r="B646" s="11" t="s">
        <v>2294</v>
      </c>
      <c r="C646" s="14">
        <v>5</v>
      </c>
    </row>
    <row r="647" spans="1:3">
      <c r="A647" s="11" t="s">
        <v>875</v>
      </c>
      <c r="B647" s="11" t="s">
        <v>876</v>
      </c>
      <c r="C647" s="14">
        <v>5</v>
      </c>
    </row>
    <row r="648" spans="1:3">
      <c r="A648" s="11" t="s">
        <v>877</v>
      </c>
      <c r="B648" s="11" t="s">
        <v>878</v>
      </c>
      <c r="C648" s="14">
        <v>5</v>
      </c>
    </row>
    <row r="649" spans="1:3">
      <c r="A649" s="11" t="s">
        <v>879</v>
      </c>
      <c r="B649" s="11" t="s">
        <v>880</v>
      </c>
      <c r="C649" s="14">
        <v>5</v>
      </c>
    </row>
    <row r="650" spans="1:3">
      <c r="A650" s="11" t="s">
        <v>2000</v>
      </c>
      <c r="B650" s="25" t="s">
        <v>1999</v>
      </c>
      <c r="C650" s="24">
        <v>5</v>
      </c>
    </row>
    <row r="651" spans="1:3">
      <c r="A651" s="11" t="s">
        <v>2295</v>
      </c>
      <c r="B651" s="25" t="s">
        <v>2296</v>
      </c>
      <c r="C651" s="24">
        <v>5</v>
      </c>
    </row>
    <row r="652" spans="1:3">
      <c r="A652" s="11" t="s">
        <v>881</v>
      </c>
      <c r="B652" s="11" t="s">
        <v>882</v>
      </c>
      <c r="C652" s="14">
        <v>5</v>
      </c>
    </row>
    <row r="653" spans="1:3">
      <c r="A653" s="11" t="s">
        <v>883</v>
      </c>
      <c r="B653" s="11" t="s">
        <v>884</v>
      </c>
      <c r="C653" s="14">
        <v>5</v>
      </c>
    </row>
    <row r="654" spans="1:3">
      <c r="A654" s="11" t="s">
        <v>2297</v>
      </c>
      <c r="B654" s="11" t="s">
        <v>2298</v>
      </c>
      <c r="C654" s="14">
        <v>5</v>
      </c>
    </row>
    <row r="655" spans="1:3">
      <c r="A655" s="11" t="s">
        <v>885</v>
      </c>
      <c r="B655" s="11" t="s">
        <v>886</v>
      </c>
      <c r="C655" s="14">
        <v>5</v>
      </c>
    </row>
    <row r="656" spans="1:3">
      <c r="A656" s="11" t="s">
        <v>887</v>
      </c>
      <c r="B656" s="11" t="s">
        <v>888</v>
      </c>
      <c r="C656" s="14">
        <v>5</v>
      </c>
    </row>
    <row r="657" spans="1:3">
      <c r="A657" s="11" t="s">
        <v>889</v>
      </c>
      <c r="B657" s="11" t="s">
        <v>890</v>
      </c>
      <c r="C657" s="14">
        <v>5</v>
      </c>
    </row>
    <row r="658" spans="1:3">
      <c r="A658" s="11" t="s">
        <v>2001</v>
      </c>
      <c r="B658" s="11" t="s">
        <v>892</v>
      </c>
      <c r="C658" s="14">
        <v>5</v>
      </c>
    </row>
    <row r="659" spans="1:3">
      <c r="A659" s="11" t="s">
        <v>891</v>
      </c>
      <c r="B659" s="11" t="s">
        <v>892</v>
      </c>
      <c r="C659" s="14">
        <v>5</v>
      </c>
    </row>
    <row r="660" spans="1:3">
      <c r="A660" s="11" t="str">
        <f>"05.2"</f>
        <v>05.2</v>
      </c>
      <c r="B660" s="25" t="s">
        <v>2002</v>
      </c>
      <c r="C660" s="24">
        <v>5</v>
      </c>
    </row>
    <row r="661" spans="1:3">
      <c r="A661" s="11" t="s">
        <v>2299</v>
      </c>
      <c r="B661" s="25" t="s">
        <v>2300</v>
      </c>
      <c r="C661" s="24">
        <v>5</v>
      </c>
    </row>
    <row r="662" spans="1:3">
      <c r="A662" s="11" t="s">
        <v>893</v>
      </c>
      <c r="B662" s="11" t="s">
        <v>894</v>
      </c>
      <c r="C662" s="14">
        <v>5</v>
      </c>
    </row>
    <row r="663" spans="1:3">
      <c r="A663" s="11" t="s">
        <v>895</v>
      </c>
      <c r="B663" s="11" t="s">
        <v>896</v>
      </c>
      <c r="C663" s="14">
        <v>5</v>
      </c>
    </row>
    <row r="664" spans="1:3">
      <c r="A664" s="11" t="s">
        <v>2301</v>
      </c>
      <c r="B664" s="11" t="s">
        <v>2302</v>
      </c>
      <c r="C664" s="14">
        <v>5</v>
      </c>
    </row>
    <row r="665" spans="1:3">
      <c r="A665" s="11" t="s">
        <v>897</v>
      </c>
      <c r="B665" s="11" t="s">
        <v>898</v>
      </c>
      <c r="C665" s="14">
        <v>5</v>
      </c>
    </row>
    <row r="666" spans="1:3">
      <c r="A666" s="11" t="s">
        <v>899</v>
      </c>
      <c r="B666" s="11" t="s">
        <v>900</v>
      </c>
      <c r="C666" s="14">
        <v>5</v>
      </c>
    </row>
    <row r="667" spans="1:3">
      <c r="A667" s="11" t="s">
        <v>901</v>
      </c>
      <c r="B667" s="11" t="s">
        <v>902</v>
      </c>
      <c r="C667" s="14">
        <v>5</v>
      </c>
    </row>
    <row r="668" spans="1:3">
      <c r="A668" s="11" t="s">
        <v>903</v>
      </c>
      <c r="B668" s="11" t="s">
        <v>904</v>
      </c>
      <c r="C668" s="14">
        <v>5</v>
      </c>
    </row>
    <row r="669" spans="1:3">
      <c r="A669" s="11" t="s">
        <v>905</v>
      </c>
      <c r="B669" s="11" t="s">
        <v>906</v>
      </c>
      <c r="C669" s="14">
        <v>5</v>
      </c>
    </row>
    <row r="670" spans="1:3">
      <c r="A670" s="11" t="s">
        <v>907</v>
      </c>
      <c r="B670" s="11" t="s">
        <v>908</v>
      </c>
      <c r="C670" s="14">
        <v>5</v>
      </c>
    </row>
    <row r="671" spans="1:3">
      <c r="A671" s="11" t="s">
        <v>909</v>
      </c>
      <c r="B671" s="11" t="s">
        <v>910</v>
      </c>
      <c r="C671" s="14">
        <v>5</v>
      </c>
    </row>
    <row r="672" spans="1:3">
      <c r="A672" s="11" t="s">
        <v>2303</v>
      </c>
      <c r="B672" s="11" t="s">
        <v>2304</v>
      </c>
      <c r="C672" s="14">
        <v>5</v>
      </c>
    </row>
    <row r="673" spans="1:3">
      <c r="A673" s="11" t="s">
        <v>911</v>
      </c>
      <c r="B673" s="11" t="s">
        <v>912</v>
      </c>
      <c r="C673" s="14">
        <v>5</v>
      </c>
    </row>
    <row r="674" spans="1:3">
      <c r="A674" s="11" t="s">
        <v>913</v>
      </c>
      <c r="B674" s="11" t="s">
        <v>914</v>
      </c>
      <c r="C674" s="14">
        <v>5</v>
      </c>
    </row>
    <row r="675" spans="1:3">
      <c r="A675" s="11" t="s">
        <v>915</v>
      </c>
      <c r="B675" s="11" t="s">
        <v>916</v>
      </c>
      <c r="C675" s="14">
        <v>5</v>
      </c>
    </row>
    <row r="676" spans="1:3">
      <c r="A676" s="11" t="s">
        <v>917</v>
      </c>
      <c r="B676" s="11" t="s">
        <v>918</v>
      </c>
      <c r="C676" s="14">
        <v>5</v>
      </c>
    </row>
    <row r="677" spans="1:3">
      <c r="A677" s="11" t="s">
        <v>919</v>
      </c>
      <c r="B677" s="11" t="s">
        <v>920</v>
      </c>
      <c r="C677" s="14">
        <v>5</v>
      </c>
    </row>
    <row r="678" spans="1:3">
      <c r="A678" s="11" t="s">
        <v>921</v>
      </c>
      <c r="B678" s="11" t="s">
        <v>922</v>
      </c>
      <c r="C678" s="14">
        <v>5</v>
      </c>
    </row>
    <row r="679" spans="1:3">
      <c r="A679" s="11" t="str">
        <f>"05.3"</f>
        <v>05.3</v>
      </c>
      <c r="B679" s="25" t="s">
        <v>2003</v>
      </c>
      <c r="C679" s="14">
        <v>5</v>
      </c>
    </row>
    <row r="680" spans="1:3">
      <c r="A680" s="11" t="s">
        <v>2305</v>
      </c>
      <c r="B680" s="25" t="s">
        <v>2306</v>
      </c>
      <c r="C680" s="14">
        <v>5</v>
      </c>
    </row>
    <row r="681" spans="1:3">
      <c r="A681" s="11" t="s">
        <v>2307</v>
      </c>
      <c r="B681" s="25" t="s">
        <v>2308</v>
      </c>
      <c r="C681" s="14">
        <v>5</v>
      </c>
    </row>
    <row r="682" spans="1:3">
      <c r="A682" s="11" t="s">
        <v>923</v>
      </c>
      <c r="B682" s="11" t="s">
        <v>924</v>
      </c>
      <c r="C682" s="14">
        <v>5</v>
      </c>
    </row>
    <row r="683" spans="1:3">
      <c r="A683" s="11" t="s">
        <v>925</v>
      </c>
      <c r="B683" s="11" t="s">
        <v>926</v>
      </c>
      <c r="C683" s="14">
        <v>5</v>
      </c>
    </row>
    <row r="684" spans="1:3">
      <c r="A684" s="11" t="s">
        <v>927</v>
      </c>
      <c r="B684" s="11" t="s">
        <v>928</v>
      </c>
      <c r="C684" s="14">
        <v>5</v>
      </c>
    </row>
    <row r="685" spans="1:3">
      <c r="A685" s="11" t="s">
        <v>2309</v>
      </c>
      <c r="B685" s="11" t="s">
        <v>2310</v>
      </c>
      <c r="C685" s="14">
        <v>5</v>
      </c>
    </row>
    <row r="686" spans="1:3">
      <c r="A686" s="11" t="s">
        <v>929</v>
      </c>
      <c r="B686" s="11" t="s">
        <v>930</v>
      </c>
      <c r="C686" s="14">
        <v>5</v>
      </c>
    </row>
    <row r="687" spans="1:3">
      <c r="A687" s="11" t="s">
        <v>931</v>
      </c>
      <c r="B687" s="11" t="s">
        <v>932</v>
      </c>
      <c r="C687" s="14">
        <v>5</v>
      </c>
    </row>
    <row r="688" spans="1:3">
      <c r="A688" s="11" t="s">
        <v>933</v>
      </c>
      <c r="B688" s="11" t="s">
        <v>934</v>
      </c>
      <c r="C688" s="14">
        <v>5</v>
      </c>
    </row>
    <row r="689" spans="1:3">
      <c r="A689" s="11" t="s">
        <v>935</v>
      </c>
      <c r="B689" s="11" t="s">
        <v>936</v>
      </c>
      <c r="C689" s="14">
        <v>5</v>
      </c>
    </row>
    <row r="690" spans="1:3">
      <c r="A690" s="11" t="s">
        <v>2311</v>
      </c>
      <c r="B690" s="11" t="s">
        <v>2312</v>
      </c>
      <c r="C690" s="14">
        <v>5</v>
      </c>
    </row>
    <row r="691" spans="1:3">
      <c r="A691" s="11" t="s">
        <v>937</v>
      </c>
      <c r="B691" s="11" t="s">
        <v>938</v>
      </c>
      <c r="C691" s="14">
        <v>5</v>
      </c>
    </row>
    <row r="692" spans="1:3">
      <c r="A692" s="11" t="s">
        <v>939</v>
      </c>
      <c r="B692" s="11" t="s">
        <v>940</v>
      </c>
      <c r="C692" s="14">
        <v>5</v>
      </c>
    </row>
    <row r="693" spans="1:3">
      <c r="A693" s="11" t="s">
        <v>941</v>
      </c>
      <c r="B693" s="11" t="s">
        <v>942</v>
      </c>
      <c r="C693" s="14">
        <v>5</v>
      </c>
    </row>
    <row r="694" spans="1:3">
      <c r="A694" s="11" t="s">
        <v>943</v>
      </c>
      <c r="B694" s="11" t="s">
        <v>944</v>
      </c>
      <c r="C694" s="14">
        <v>5</v>
      </c>
    </row>
    <row r="695" spans="1:3">
      <c r="A695" s="11" t="s">
        <v>2313</v>
      </c>
      <c r="B695" s="11" t="s">
        <v>2314</v>
      </c>
      <c r="C695" s="14">
        <v>5</v>
      </c>
    </row>
    <row r="696" spans="1:3">
      <c r="A696" s="11" t="s">
        <v>945</v>
      </c>
      <c r="B696" s="11" t="s">
        <v>946</v>
      </c>
      <c r="C696" s="14">
        <v>5</v>
      </c>
    </row>
    <row r="697" spans="1:3">
      <c r="A697" s="11" t="s">
        <v>947</v>
      </c>
      <c r="B697" s="11" t="s">
        <v>948</v>
      </c>
      <c r="C697" s="14">
        <v>5</v>
      </c>
    </row>
    <row r="698" spans="1:3">
      <c r="A698" s="11" t="s">
        <v>2315</v>
      </c>
      <c r="B698" s="11" t="s">
        <v>2316</v>
      </c>
      <c r="C698" s="14">
        <v>5</v>
      </c>
    </row>
    <row r="699" spans="1:3">
      <c r="A699" s="11" t="s">
        <v>949</v>
      </c>
      <c r="B699" s="11" t="s">
        <v>950</v>
      </c>
      <c r="C699" s="14">
        <v>5</v>
      </c>
    </row>
    <row r="700" spans="1:3">
      <c r="A700" s="11" t="s">
        <v>951</v>
      </c>
      <c r="B700" s="11" t="s">
        <v>952</v>
      </c>
      <c r="C700" s="14">
        <v>5</v>
      </c>
    </row>
    <row r="701" spans="1:3">
      <c r="A701" s="11" t="s">
        <v>953</v>
      </c>
      <c r="B701" s="11" t="s">
        <v>954</v>
      </c>
      <c r="C701" s="14">
        <v>5</v>
      </c>
    </row>
    <row r="702" spans="1:3">
      <c r="A702" s="11" t="s">
        <v>2317</v>
      </c>
      <c r="B702" s="11" t="s">
        <v>2319</v>
      </c>
      <c r="C702" s="14">
        <v>5</v>
      </c>
    </row>
    <row r="703" spans="1:3">
      <c r="A703" s="11" t="s">
        <v>2318</v>
      </c>
      <c r="B703" s="11" t="s">
        <v>2320</v>
      </c>
      <c r="C703" s="14">
        <v>5</v>
      </c>
    </row>
    <row r="704" spans="1:3">
      <c r="A704" s="11" t="s">
        <v>955</v>
      </c>
      <c r="B704" s="11" t="s">
        <v>956</v>
      </c>
      <c r="C704" s="14">
        <v>5</v>
      </c>
    </row>
    <row r="705" spans="1:3">
      <c r="A705" s="11" t="s">
        <v>2321</v>
      </c>
      <c r="B705" s="11" t="s">
        <v>2322</v>
      </c>
      <c r="C705" s="14">
        <v>5</v>
      </c>
    </row>
    <row r="706" spans="1:3">
      <c r="A706" s="11" t="s">
        <v>957</v>
      </c>
      <c r="B706" s="11" t="s">
        <v>958</v>
      </c>
      <c r="C706" s="14">
        <v>5</v>
      </c>
    </row>
    <row r="707" spans="1:3">
      <c r="A707" s="11" t="s">
        <v>959</v>
      </c>
      <c r="B707" s="11" t="s">
        <v>960</v>
      </c>
      <c r="C707" s="14">
        <v>5</v>
      </c>
    </row>
    <row r="708" spans="1:3">
      <c r="A708" s="11" t="s">
        <v>961</v>
      </c>
      <c r="B708" s="11" t="s">
        <v>962</v>
      </c>
      <c r="C708" s="14">
        <v>5</v>
      </c>
    </row>
    <row r="709" spans="1:3">
      <c r="A709" s="11" t="s">
        <v>963</v>
      </c>
      <c r="B709" s="11" t="s">
        <v>964</v>
      </c>
      <c r="C709" s="14">
        <v>5</v>
      </c>
    </row>
    <row r="710" spans="1:3">
      <c r="A710" s="11" t="s">
        <v>2323</v>
      </c>
      <c r="B710" s="11" t="s">
        <v>2324</v>
      </c>
      <c r="C710" s="14">
        <v>5</v>
      </c>
    </row>
    <row r="711" spans="1:3">
      <c r="A711" s="11" t="s">
        <v>965</v>
      </c>
      <c r="B711" s="11" t="s">
        <v>966</v>
      </c>
      <c r="C711" s="14">
        <v>5</v>
      </c>
    </row>
    <row r="712" spans="1:3">
      <c r="A712" s="11" t="s">
        <v>967</v>
      </c>
      <c r="B712" s="11" t="s">
        <v>968</v>
      </c>
      <c r="C712" s="14">
        <v>5</v>
      </c>
    </row>
    <row r="713" spans="1:3">
      <c r="A713" s="11" t="s">
        <v>969</v>
      </c>
      <c r="B713" s="11" t="s">
        <v>970</v>
      </c>
      <c r="C713" s="14">
        <v>5</v>
      </c>
    </row>
    <row r="714" spans="1:3">
      <c r="A714" s="11" t="s">
        <v>2325</v>
      </c>
      <c r="B714" s="11" t="s">
        <v>978</v>
      </c>
      <c r="C714" s="14">
        <v>5</v>
      </c>
    </row>
    <row r="715" spans="1:3">
      <c r="A715" s="11" t="s">
        <v>971</v>
      </c>
      <c r="B715" s="11" t="s">
        <v>972</v>
      </c>
      <c r="C715" s="14">
        <v>5</v>
      </c>
    </row>
    <row r="716" spans="1:3">
      <c r="A716" s="11" t="s">
        <v>973</v>
      </c>
      <c r="B716" s="11" t="s">
        <v>974</v>
      </c>
      <c r="C716" s="14">
        <v>5</v>
      </c>
    </row>
    <row r="717" spans="1:3">
      <c r="A717" s="11" t="s">
        <v>975</v>
      </c>
      <c r="B717" s="11" t="s">
        <v>976</v>
      </c>
      <c r="C717" s="14">
        <v>5</v>
      </c>
    </row>
    <row r="718" spans="1:3">
      <c r="A718" s="11" t="s">
        <v>977</v>
      </c>
      <c r="B718" s="11" t="s">
        <v>978</v>
      </c>
      <c r="C718" s="14">
        <v>5</v>
      </c>
    </row>
    <row r="719" spans="1:3">
      <c r="A719" s="11" t="s">
        <v>2326</v>
      </c>
      <c r="B719" s="11" t="s">
        <v>2328</v>
      </c>
      <c r="C719" s="14">
        <v>5</v>
      </c>
    </row>
    <row r="720" spans="1:3">
      <c r="A720" s="11" t="s">
        <v>979</v>
      </c>
      <c r="B720" s="11" t="s">
        <v>980</v>
      </c>
      <c r="C720" s="14">
        <v>5</v>
      </c>
    </row>
    <row r="721" spans="1:3">
      <c r="A721" s="11" t="s">
        <v>2327</v>
      </c>
      <c r="B721" s="11" t="s">
        <v>2329</v>
      </c>
      <c r="C721" s="14">
        <v>5</v>
      </c>
    </row>
    <row r="722" spans="1:3">
      <c r="A722" s="11" t="s">
        <v>981</v>
      </c>
      <c r="B722" s="11" t="s">
        <v>982</v>
      </c>
      <c r="C722" s="14">
        <v>5</v>
      </c>
    </row>
    <row r="723" spans="1:3">
      <c r="A723" s="11" t="s">
        <v>983</v>
      </c>
      <c r="B723" s="11" t="s">
        <v>984</v>
      </c>
      <c r="C723" s="14">
        <v>5</v>
      </c>
    </row>
    <row r="724" spans="1:3">
      <c r="A724" s="11" t="s">
        <v>985</v>
      </c>
      <c r="B724" s="11" t="s">
        <v>986</v>
      </c>
      <c r="C724" s="14">
        <v>5</v>
      </c>
    </row>
    <row r="725" spans="1:3">
      <c r="A725" s="11" t="str">
        <f>"05.4"</f>
        <v>05.4</v>
      </c>
      <c r="B725" s="25" t="s">
        <v>2004</v>
      </c>
      <c r="C725" s="14">
        <v>5</v>
      </c>
    </row>
    <row r="726" spans="1:3">
      <c r="A726" s="11" t="s">
        <v>2005</v>
      </c>
      <c r="B726" s="25" t="s">
        <v>2004</v>
      </c>
      <c r="C726" s="14">
        <v>5</v>
      </c>
    </row>
    <row r="727" spans="1:3">
      <c r="A727" s="11" t="s">
        <v>2330</v>
      </c>
      <c r="B727" s="25" t="s">
        <v>2331</v>
      </c>
      <c r="C727" s="14">
        <v>5</v>
      </c>
    </row>
    <row r="728" spans="1:3">
      <c r="A728" s="11" t="s">
        <v>987</v>
      </c>
      <c r="B728" s="11" t="s">
        <v>988</v>
      </c>
      <c r="C728" s="14">
        <v>5</v>
      </c>
    </row>
    <row r="729" spans="1:3">
      <c r="A729" s="11" t="s">
        <v>989</v>
      </c>
      <c r="B729" s="11" t="s">
        <v>990</v>
      </c>
      <c r="C729" s="14">
        <v>5</v>
      </c>
    </row>
    <row r="730" spans="1:3">
      <c r="A730" s="11" t="s">
        <v>991</v>
      </c>
      <c r="B730" s="11" t="s">
        <v>992</v>
      </c>
      <c r="C730" s="14">
        <v>5</v>
      </c>
    </row>
    <row r="731" spans="1:3">
      <c r="A731" s="11" t="s">
        <v>993</v>
      </c>
      <c r="B731" s="11" t="s">
        <v>994</v>
      </c>
      <c r="C731" s="14">
        <v>5</v>
      </c>
    </row>
    <row r="732" spans="1:3">
      <c r="A732" s="11" t="s">
        <v>995</v>
      </c>
      <c r="B732" s="11" t="s">
        <v>996</v>
      </c>
      <c r="C732" s="14">
        <v>5</v>
      </c>
    </row>
    <row r="733" spans="1:3">
      <c r="A733" s="11" t="s">
        <v>997</v>
      </c>
      <c r="B733" s="11" t="s">
        <v>998</v>
      </c>
      <c r="C733" s="14">
        <v>5</v>
      </c>
    </row>
    <row r="734" spans="1:3">
      <c r="A734" s="11" t="s">
        <v>999</v>
      </c>
      <c r="B734" s="11" t="s">
        <v>1000</v>
      </c>
      <c r="C734" s="14">
        <v>5</v>
      </c>
    </row>
    <row r="735" spans="1:3">
      <c r="A735" s="11" t="s">
        <v>1001</v>
      </c>
      <c r="B735" s="11" t="s">
        <v>1002</v>
      </c>
      <c r="C735" s="14">
        <v>5</v>
      </c>
    </row>
    <row r="736" spans="1:3">
      <c r="A736" s="11" t="s">
        <v>2332</v>
      </c>
      <c r="B736" s="11" t="s">
        <v>2333</v>
      </c>
      <c r="C736" s="14">
        <v>5</v>
      </c>
    </row>
    <row r="737" spans="1:3">
      <c r="A737" s="11" t="s">
        <v>1003</v>
      </c>
      <c r="B737" s="11" t="s">
        <v>1004</v>
      </c>
      <c r="C737" s="14">
        <v>5</v>
      </c>
    </row>
    <row r="738" spans="1:3">
      <c r="A738" s="11" t="s">
        <v>1005</v>
      </c>
      <c r="B738" s="11" t="s">
        <v>1006</v>
      </c>
      <c r="C738" s="14">
        <v>5</v>
      </c>
    </row>
    <row r="739" spans="1:3">
      <c r="A739" s="11" t="s">
        <v>1007</v>
      </c>
      <c r="B739" s="11" t="s">
        <v>1008</v>
      </c>
      <c r="C739" s="14">
        <v>5</v>
      </c>
    </row>
    <row r="740" spans="1:3">
      <c r="A740" s="11" t="s">
        <v>2334</v>
      </c>
      <c r="B740" s="11" t="s">
        <v>2335</v>
      </c>
      <c r="C740" s="14">
        <v>5</v>
      </c>
    </row>
    <row r="741" spans="1:3">
      <c r="A741" s="11" t="s">
        <v>2766</v>
      </c>
      <c r="B741" s="11" t="s">
        <v>1009</v>
      </c>
      <c r="C741" s="14">
        <v>5</v>
      </c>
    </row>
    <row r="742" spans="1:3">
      <c r="A742" s="11" t="s">
        <v>2767</v>
      </c>
      <c r="B742" s="11" t="s">
        <v>1014</v>
      </c>
      <c r="C742" s="14">
        <v>5</v>
      </c>
    </row>
    <row r="743" spans="1:3">
      <c r="A743" s="11" t="s">
        <v>2768</v>
      </c>
      <c r="B743" s="11" t="s">
        <v>1015</v>
      </c>
      <c r="C743" s="14">
        <v>5</v>
      </c>
    </row>
    <row r="744" spans="1:3">
      <c r="A744" s="11" t="s">
        <v>2769</v>
      </c>
      <c r="B744" s="11" t="s">
        <v>1016</v>
      </c>
      <c r="C744" s="14">
        <v>5</v>
      </c>
    </row>
    <row r="745" spans="1:3">
      <c r="A745" s="11" t="s">
        <v>2770</v>
      </c>
      <c r="B745" s="11" t="s">
        <v>1017</v>
      </c>
      <c r="C745" s="14">
        <v>5</v>
      </c>
    </row>
    <row r="746" spans="1:3">
      <c r="A746" s="11" t="s">
        <v>2771</v>
      </c>
      <c r="B746" s="11" t="s">
        <v>1018</v>
      </c>
      <c r="C746" s="14">
        <v>5</v>
      </c>
    </row>
    <row r="747" spans="1:3">
      <c r="A747" s="11" t="s">
        <v>2772</v>
      </c>
      <c r="B747" s="11" t="s">
        <v>1019</v>
      </c>
      <c r="C747" s="14">
        <v>5</v>
      </c>
    </row>
    <row r="748" spans="1:3">
      <c r="A748" s="11" t="s">
        <v>2773</v>
      </c>
      <c r="B748" s="11" t="s">
        <v>1020</v>
      </c>
      <c r="C748" s="14">
        <v>5</v>
      </c>
    </row>
    <row r="749" spans="1:3">
      <c r="A749" s="11" t="s">
        <v>2774</v>
      </c>
      <c r="B749" s="11" t="s">
        <v>1021</v>
      </c>
      <c r="C749" s="14">
        <v>5</v>
      </c>
    </row>
    <row r="750" spans="1:3">
      <c r="A750" s="11" t="s">
        <v>1010</v>
      </c>
      <c r="B750" s="11" t="s">
        <v>1011</v>
      </c>
      <c r="C750" s="14">
        <v>5</v>
      </c>
    </row>
    <row r="751" spans="1:3">
      <c r="A751" s="11" t="s">
        <v>1012</v>
      </c>
      <c r="B751" s="11" t="s">
        <v>1013</v>
      </c>
      <c r="C751" s="14">
        <v>5</v>
      </c>
    </row>
    <row r="752" spans="1:3">
      <c r="A752" s="11" t="s">
        <v>1022</v>
      </c>
      <c r="B752" s="11" t="s">
        <v>1023</v>
      </c>
      <c r="C752" s="14">
        <v>5</v>
      </c>
    </row>
    <row r="753" spans="1:5">
      <c r="A753" s="11" t="str">
        <f>"05.5"</f>
        <v>05.5</v>
      </c>
      <c r="B753" s="25" t="s">
        <v>2006</v>
      </c>
      <c r="C753" s="14">
        <v>5</v>
      </c>
    </row>
    <row r="754" spans="1:5">
      <c r="A754" s="11" t="s">
        <v>2007</v>
      </c>
      <c r="B754" s="25" t="s">
        <v>2008</v>
      </c>
      <c r="C754" s="14">
        <v>5</v>
      </c>
    </row>
    <row r="755" spans="1:5">
      <c r="A755" s="11" t="s">
        <v>2571</v>
      </c>
      <c r="B755" s="25" t="s">
        <v>2574</v>
      </c>
      <c r="C755" s="14">
        <v>5</v>
      </c>
    </row>
    <row r="756" spans="1:5">
      <c r="A756" s="11" t="s">
        <v>1024</v>
      </c>
      <c r="B756" s="11" t="s">
        <v>1025</v>
      </c>
      <c r="C756" s="14">
        <v>5</v>
      </c>
    </row>
    <row r="757" spans="1:5">
      <c r="A757" s="11" t="s">
        <v>1026</v>
      </c>
      <c r="B757" s="11" t="s">
        <v>1027</v>
      </c>
      <c r="C757" s="14">
        <v>5</v>
      </c>
    </row>
    <row r="758" spans="1:5">
      <c r="A758" s="11" t="s">
        <v>1028</v>
      </c>
      <c r="B758" s="11" t="s">
        <v>1029</v>
      </c>
      <c r="C758" s="14">
        <v>5</v>
      </c>
    </row>
    <row r="759" spans="1:5">
      <c r="A759" s="11" t="s">
        <v>1030</v>
      </c>
      <c r="B759" s="11" t="s">
        <v>1031</v>
      </c>
      <c r="C759" s="14">
        <v>5</v>
      </c>
    </row>
    <row r="760" spans="1:5">
      <c r="A760" s="11" t="s">
        <v>2572</v>
      </c>
      <c r="B760" s="11" t="s">
        <v>2573</v>
      </c>
      <c r="C760" s="14">
        <v>5</v>
      </c>
    </row>
    <row r="761" spans="1:5">
      <c r="A761" s="11" t="s">
        <v>1032</v>
      </c>
      <c r="B761" s="11" t="s">
        <v>1033</v>
      </c>
      <c r="C761" s="14">
        <v>5</v>
      </c>
    </row>
    <row r="762" spans="1:5">
      <c r="A762" s="11" t="s">
        <v>1034</v>
      </c>
      <c r="B762" s="11" t="s">
        <v>1035</v>
      </c>
      <c r="C762" s="14">
        <v>5</v>
      </c>
    </row>
    <row r="763" spans="1:5">
      <c r="A763" s="11" t="s">
        <v>2009</v>
      </c>
      <c r="B763" s="25" t="s">
        <v>2010</v>
      </c>
      <c r="C763" s="14">
        <v>5</v>
      </c>
    </row>
    <row r="764" spans="1:5">
      <c r="A764" s="11" t="s">
        <v>2336</v>
      </c>
      <c r="B764" s="25" t="s">
        <v>2337</v>
      </c>
      <c r="C764" s="14">
        <v>5</v>
      </c>
    </row>
    <row r="765" spans="1:5">
      <c r="A765" s="11" t="s">
        <v>1036</v>
      </c>
      <c r="B765" s="11" t="s">
        <v>1037</v>
      </c>
      <c r="C765" s="14">
        <v>5</v>
      </c>
      <c r="E765" s="25"/>
    </row>
    <row r="766" spans="1:5">
      <c r="A766" s="11" t="s">
        <v>1038</v>
      </c>
      <c r="B766" s="11" t="s">
        <v>1039</v>
      </c>
      <c r="C766" s="14">
        <v>5</v>
      </c>
      <c r="E766" s="25"/>
    </row>
    <row r="767" spans="1:5">
      <c r="A767" s="11" t="s">
        <v>1040</v>
      </c>
      <c r="B767" s="11" t="s">
        <v>1041</v>
      </c>
      <c r="C767" s="14">
        <v>5</v>
      </c>
    </row>
    <row r="768" spans="1:5">
      <c r="A768" s="11" t="s">
        <v>1042</v>
      </c>
      <c r="B768" s="11" t="s">
        <v>1043</v>
      </c>
      <c r="C768" s="14">
        <v>5</v>
      </c>
    </row>
    <row r="769" spans="1:5">
      <c r="A769" s="11" t="s">
        <v>1044</v>
      </c>
      <c r="B769" s="11" t="s">
        <v>1045</v>
      </c>
      <c r="C769" s="14">
        <v>5</v>
      </c>
    </row>
    <row r="770" spans="1:5">
      <c r="A770" s="11" t="s">
        <v>2338</v>
      </c>
      <c r="B770" s="11" t="s">
        <v>2339</v>
      </c>
      <c r="C770" s="14">
        <v>5</v>
      </c>
    </row>
    <row r="771" spans="1:5">
      <c r="A771" s="11" t="s">
        <v>1046</v>
      </c>
      <c r="B771" s="11" t="s">
        <v>1047</v>
      </c>
      <c r="C771" s="14">
        <v>5</v>
      </c>
    </row>
    <row r="772" spans="1:5">
      <c r="A772" s="11" t="s">
        <v>1048</v>
      </c>
      <c r="B772" s="11" t="s">
        <v>1049</v>
      </c>
      <c r="C772" s="14">
        <v>5</v>
      </c>
    </row>
    <row r="773" spans="1:5">
      <c r="A773" s="11" t="s">
        <v>1050</v>
      </c>
      <c r="B773" s="11" t="s">
        <v>1051</v>
      </c>
      <c r="C773" s="14">
        <v>5</v>
      </c>
    </row>
    <row r="774" spans="1:5">
      <c r="A774" s="11" t="s">
        <v>1052</v>
      </c>
      <c r="B774" s="11" t="s">
        <v>1053</v>
      </c>
      <c r="C774" s="14">
        <v>5</v>
      </c>
    </row>
    <row r="775" spans="1:5">
      <c r="A775" s="11" t="s">
        <v>1054</v>
      </c>
      <c r="B775" s="11" t="s">
        <v>1055</v>
      </c>
      <c r="C775" s="14">
        <v>5</v>
      </c>
    </row>
    <row r="776" spans="1:5">
      <c r="A776" s="11" t="s">
        <v>1056</v>
      </c>
      <c r="B776" s="11" t="s">
        <v>1057</v>
      </c>
      <c r="C776" s="14">
        <v>5</v>
      </c>
    </row>
    <row r="777" spans="1:5">
      <c r="A777" s="15" t="s">
        <v>1058</v>
      </c>
      <c r="B777" s="15" t="s">
        <v>1059</v>
      </c>
      <c r="C777" s="14">
        <v>5</v>
      </c>
    </row>
    <row r="778" spans="1:5">
      <c r="A778" s="15" t="s">
        <v>1060</v>
      </c>
      <c r="B778" s="15" t="s">
        <v>1061</v>
      </c>
      <c r="C778" s="14">
        <v>5</v>
      </c>
    </row>
    <row r="779" spans="1:5">
      <c r="A779" s="15" t="s">
        <v>2340</v>
      </c>
      <c r="B779" s="15" t="s">
        <v>1062</v>
      </c>
      <c r="C779" s="14">
        <v>5</v>
      </c>
    </row>
    <row r="780" spans="1:5">
      <c r="A780" s="15" t="str">
        <f>"05.6"</f>
        <v>05.6</v>
      </c>
      <c r="B780" s="22" t="s">
        <v>2012</v>
      </c>
      <c r="C780" s="14">
        <v>5</v>
      </c>
    </row>
    <row r="781" spans="1:5">
      <c r="A781" s="15" t="s">
        <v>2011</v>
      </c>
      <c r="B781" s="22" t="s">
        <v>2013</v>
      </c>
      <c r="C781" s="14">
        <v>5</v>
      </c>
      <c r="E781" s="26"/>
    </row>
    <row r="782" spans="1:5">
      <c r="A782" s="15" t="s">
        <v>2341</v>
      </c>
      <c r="B782" s="22" t="s">
        <v>2342</v>
      </c>
      <c r="C782" s="14">
        <v>5</v>
      </c>
    </row>
    <row r="783" spans="1:5">
      <c r="A783" s="11" t="s">
        <v>2775</v>
      </c>
      <c r="B783" s="11" t="s">
        <v>1063</v>
      </c>
      <c r="C783" s="14">
        <v>5</v>
      </c>
    </row>
    <row r="784" spans="1:5">
      <c r="A784" s="11" t="s">
        <v>2776</v>
      </c>
      <c r="B784" s="11" t="s">
        <v>1068</v>
      </c>
      <c r="C784" s="14">
        <v>5</v>
      </c>
    </row>
    <row r="785" spans="1:3">
      <c r="A785" s="11" t="s">
        <v>2777</v>
      </c>
      <c r="B785" s="11" t="s">
        <v>1069</v>
      </c>
      <c r="C785" s="14">
        <v>5</v>
      </c>
    </row>
    <row r="786" spans="1:3">
      <c r="A786" s="11" t="s">
        <v>2778</v>
      </c>
      <c r="B786" s="11" t="s">
        <v>1070</v>
      </c>
      <c r="C786" s="14">
        <v>5</v>
      </c>
    </row>
    <row r="787" spans="1:3">
      <c r="A787" s="11" t="s">
        <v>2779</v>
      </c>
      <c r="B787" s="11" t="s">
        <v>1071</v>
      </c>
      <c r="C787" s="14">
        <v>5</v>
      </c>
    </row>
    <row r="788" spans="1:3">
      <c r="A788" s="11" t="s">
        <v>2780</v>
      </c>
      <c r="B788" s="11" t="s">
        <v>1072</v>
      </c>
      <c r="C788" s="14">
        <v>5</v>
      </c>
    </row>
    <row r="789" spans="1:3">
      <c r="A789" s="11" t="s">
        <v>2781</v>
      </c>
      <c r="B789" s="11" t="s">
        <v>1073</v>
      </c>
      <c r="C789" s="14">
        <v>5</v>
      </c>
    </row>
    <row r="790" spans="1:3">
      <c r="A790" s="11" t="s">
        <v>2782</v>
      </c>
      <c r="B790" s="11" t="s">
        <v>1074</v>
      </c>
      <c r="C790" s="14">
        <v>5</v>
      </c>
    </row>
    <row r="791" spans="1:3">
      <c r="A791" s="11" t="s">
        <v>2783</v>
      </c>
      <c r="B791" s="11" t="s">
        <v>1075</v>
      </c>
      <c r="C791" s="14">
        <v>5</v>
      </c>
    </row>
    <row r="792" spans="1:3">
      <c r="A792" s="11" t="s">
        <v>1064</v>
      </c>
      <c r="B792" s="11" t="s">
        <v>1065</v>
      </c>
      <c r="C792" s="14">
        <v>5</v>
      </c>
    </row>
    <row r="793" spans="1:3">
      <c r="A793" s="11" t="s">
        <v>1066</v>
      </c>
      <c r="B793" s="11" t="s">
        <v>1067</v>
      </c>
      <c r="C793" s="14">
        <v>5</v>
      </c>
    </row>
    <row r="794" spans="1:3">
      <c r="A794" s="11" t="s">
        <v>2343</v>
      </c>
      <c r="B794" s="11" t="s">
        <v>1081</v>
      </c>
      <c r="C794" s="14">
        <v>5</v>
      </c>
    </row>
    <row r="795" spans="1:3">
      <c r="A795" s="11" t="s">
        <v>2784</v>
      </c>
      <c r="B795" s="11" t="s">
        <v>1076</v>
      </c>
      <c r="C795" s="14">
        <v>5</v>
      </c>
    </row>
    <row r="796" spans="1:3">
      <c r="A796" s="11" t="s">
        <v>2785</v>
      </c>
      <c r="B796" s="11" t="s">
        <v>1082</v>
      </c>
      <c r="C796" s="14">
        <v>5</v>
      </c>
    </row>
    <row r="797" spans="1:3">
      <c r="A797" s="11" t="s">
        <v>2786</v>
      </c>
      <c r="B797" s="11" t="s">
        <v>1083</v>
      </c>
      <c r="C797" s="14">
        <v>5</v>
      </c>
    </row>
    <row r="798" spans="1:3">
      <c r="A798" s="11" t="s">
        <v>2787</v>
      </c>
      <c r="B798" s="11" t="s">
        <v>1084</v>
      </c>
      <c r="C798" s="14">
        <v>5</v>
      </c>
    </row>
    <row r="799" spans="1:3">
      <c r="A799" s="11" t="s">
        <v>2788</v>
      </c>
      <c r="B799" s="11" t="s">
        <v>1085</v>
      </c>
      <c r="C799" s="14">
        <v>5</v>
      </c>
    </row>
    <row r="800" spans="1:3">
      <c r="A800" s="11" t="s">
        <v>2789</v>
      </c>
      <c r="B800" s="11" t="s">
        <v>1086</v>
      </c>
      <c r="C800" s="14">
        <v>5</v>
      </c>
    </row>
    <row r="801" spans="1:3">
      <c r="A801" s="11" t="s">
        <v>2790</v>
      </c>
      <c r="B801" s="11" t="s">
        <v>1087</v>
      </c>
      <c r="C801" s="14">
        <v>5</v>
      </c>
    </row>
    <row r="802" spans="1:3">
      <c r="A802" s="11" t="s">
        <v>2791</v>
      </c>
      <c r="B802" s="11" t="s">
        <v>1088</v>
      </c>
      <c r="C802" s="14">
        <v>5</v>
      </c>
    </row>
    <row r="803" spans="1:3">
      <c r="A803" s="11" t="s">
        <v>2792</v>
      </c>
      <c r="B803" s="11" t="s">
        <v>1089</v>
      </c>
      <c r="C803" s="14">
        <v>5</v>
      </c>
    </row>
    <row r="804" spans="1:3">
      <c r="A804" s="11" t="s">
        <v>1077</v>
      </c>
      <c r="B804" s="11" t="s">
        <v>1078</v>
      </c>
      <c r="C804" s="14">
        <v>5</v>
      </c>
    </row>
    <row r="805" spans="1:3">
      <c r="A805" s="11" t="s">
        <v>1079</v>
      </c>
      <c r="B805" s="11" t="s">
        <v>2877</v>
      </c>
      <c r="C805" s="14">
        <v>5</v>
      </c>
    </row>
    <row r="806" spans="1:3">
      <c r="A806" s="11" t="s">
        <v>1080</v>
      </c>
      <c r="B806" s="11" t="s">
        <v>1081</v>
      </c>
      <c r="C806" s="14">
        <v>5</v>
      </c>
    </row>
    <row r="807" spans="1:3">
      <c r="A807" s="11" t="s">
        <v>2014</v>
      </c>
      <c r="B807" s="25" t="s">
        <v>2015</v>
      </c>
      <c r="C807" s="14">
        <v>5</v>
      </c>
    </row>
    <row r="808" spans="1:3">
      <c r="A808" s="11" t="s">
        <v>2344</v>
      </c>
      <c r="B808" s="25" t="s">
        <v>2345</v>
      </c>
      <c r="C808" s="14">
        <v>5</v>
      </c>
    </row>
    <row r="809" spans="1:3">
      <c r="A809" s="11" t="s">
        <v>1090</v>
      </c>
      <c r="B809" s="11" t="s">
        <v>1091</v>
      </c>
      <c r="C809" s="14">
        <v>5</v>
      </c>
    </row>
    <row r="810" spans="1:3">
      <c r="A810" s="11" t="s">
        <v>1092</v>
      </c>
      <c r="B810" s="11" t="s">
        <v>1093</v>
      </c>
      <c r="C810" s="14">
        <v>5</v>
      </c>
    </row>
    <row r="811" spans="1:3">
      <c r="A811" s="11" t="s">
        <v>1094</v>
      </c>
      <c r="B811" s="11" t="s">
        <v>1095</v>
      </c>
      <c r="C811" s="14">
        <v>5</v>
      </c>
    </row>
    <row r="812" spans="1:3">
      <c r="A812" s="11" t="s">
        <v>2346</v>
      </c>
      <c r="B812" s="11" t="s">
        <v>2347</v>
      </c>
      <c r="C812" s="14">
        <v>5</v>
      </c>
    </row>
    <row r="813" spans="1:3">
      <c r="A813" s="11" t="s">
        <v>1096</v>
      </c>
      <c r="B813" s="11" t="s">
        <v>1097</v>
      </c>
      <c r="C813" s="14">
        <v>5</v>
      </c>
    </row>
    <row r="814" spans="1:3">
      <c r="A814" s="11" t="s">
        <v>1098</v>
      </c>
      <c r="B814" s="11" t="s">
        <v>1099</v>
      </c>
      <c r="C814" s="14">
        <v>5</v>
      </c>
    </row>
    <row r="815" spans="1:3">
      <c r="A815" s="11" t="s">
        <v>1100</v>
      </c>
      <c r="B815" s="11" t="s">
        <v>1101</v>
      </c>
      <c r="C815" s="14">
        <v>5</v>
      </c>
    </row>
    <row r="816" spans="1:3">
      <c r="A816" s="11" t="s">
        <v>2348</v>
      </c>
      <c r="B816" s="11" t="s">
        <v>1103</v>
      </c>
      <c r="C816" s="14">
        <v>5</v>
      </c>
    </row>
    <row r="817" spans="1:6">
      <c r="A817" s="11" t="s">
        <v>1102</v>
      </c>
      <c r="B817" s="11" t="s">
        <v>1103</v>
      </c>
      <c r="C817" s="14">
        <v>5</v>
      </c>
    </row>
    <row r="818" spans="1:6">
      <c r="A818" s="11" t="s">
        <v>2349</v>
      </c>
      <c r="B818" s="11" t="s">
        <v>2350</v>
      </c>
      <c r="C818" s="14">
        <v>5</v>
      </c>
    </row>
    <row r="819" spans="1:6">
      <c r="A819" s="11" t="s">
        <v>1104</v>
      </c>
      <c r="B819" s="11" t="s">
        <v>1105</v>
      </c>
      <c r="C819" s="14">
        <v>5</v>
      </c>
    </row>
    <row r="820" spans="1:6">
      <c r="A820" s="11" t="s">
        <v>1106</v>
      </c>
      <c r="B820" s="11" t="s">
        <v>1107</v>
      </c>
      <c r="C820" s="14">
        <v>5</v>
      </c>
    </row>
    <row r="821" spans="1:6">
      <c r="A821" s="11" t="s">
        <v>1108</v>
      </c>
      <c r="B821" s="11" t="s">
        <v>1109</v>
      </c>
      <c r="C821" s="14">
        <v>5</v>
      </c>
    </row>
    <row r="822" spans="1:6">
      <c r="A822" s="11" t="str">
        <f>"06"</f>
        <v>06</v>
      </c>
      <c r="B822" s="11" t="s">
        <v>2017</v>
      </c>
      <c r="C822" s="14">
        <v>5</v>
      </c>
    </row>
    <row r="823" spans="1:6">
      <c r="A823" s="11" t="str">
        <f>"06.1"</f>
        <v>06.1</v>
      </c>
      <c r="B823" s="25" t="s">
        <v>2016</v>
      </c>
      <c r="C823" s="14">
        <v>5</v>
      </c>
    </row>
    <row r="824" spans="1:6">
      <c r="A824" s="11" t="str">
        <f>"06.1.1"</f>
        <v>06.1.1</v>
      </c>
      <c r="B824" s="25" t="s">
        <v>2018</v>
      </c>
      <c r="C824" s="14">
        <v>5</v>
      </c>
    </row>
    <row r="825" spans="1:6">
      <c r="A825" s="11" t="s">
        <v>1110</v>
      </c>
      <c r="B825" s="11" t="s">
        <v>1111</v>
      </c>
      <c r="C825" s="14">
        <v>5</v>
      </c>
    </row>
    <row r="826" spans="1:6">
      <c r="A826" s="11" t="s">
        <v>1112</v>
      </c>
      <c r="B826" s="11" t="s">
        <v>1113</v>
      </c>
      <c r="C826" s="14">
        <v>5</v>
      </c>
    </row>
    <row r="827" spans="1:6">
      <c r="A827" s="11" t="s">
        <v>1114</v>
      </c>
      <c r="B827" s="11" t="s">
        <v>1115</v>
      </c>
      <c r="C827" s="14">
        <v>5</v>
      </c>
    </row>
    <row r="828" spans="1:6">
      <c r="A828" s="11" t="s">
        <v>1116</v>
      </c>
      <c r="B828" s="11" t="s">
        <v>1117</v>
      </c>
      <c r="C828" s="14">
        <v>5</v>
      </c>
    </row>
    <row r="829" spans="1:6">
      <c r="A829" s="11" t="s">
        <v>1118</v>
      </c>
      <c r="B829" s="11" t="s">
        <v>1119</v>
      </c>
      <c r="C829" s="14">
        <v>5</v>
      </c>
    </row>
    <row r="830" spans="1:6">
      <c r="A830" s="4" t="s">
        <v>1120</v>
      </c>
      <c r="B830" s="4" t="s">
        <v>2889</v>
      </c>
      <c r="C830" s="17">
        <v>5</v>
      </c>
      <c r="D830" s="18">
        <v>42292</v>
      </c>
      <c r="E830" s="19" t="s">
        <v>1120</v>
      </c>
      <c r="F830" s="19" t="s">
        <v>2899</v>
      </c>
    </row>
    <row r="831" spans="1:6">
      <c r="A831" s="11" t="s">
        <v>1121</v>
      </c>
      <c r="B831" s="11" t="s">
        <v>1122</v>
      </c>
      <c r="C831" s="14">
        <v>5</v>
      </c>
    </row>
    <row r="832" spans="1:6">
      <c r="A832" s="11" t="s">
        <v>1123</v>
      </c>
      <c r="B832" s="11" t="s">
        <v>1124</v>
      </c>
      <c r="C832" s="14">
        <v>5</v>
      </c>
    </row>
    <row r="833" spans="1:5">
      <c r="A833" s="11" t="s">
        <v>2019</v>
      </c>
      <c r="B833" s="11" t="s">
        <v>2351</v>
      </c>
      <c r="C833" s="14">
        <v>5</v>
      </c>
    </row>
    <row r="834" spans="1:5">
      <c r="A834" s="11" t="s">
        <v>2020</v>
      </c>
      <c r="B834" s="11" t="s">
        <v>2352</v>
      </c>
      <c r="C834" s="14">
        <v>5</v>
      </c>
    </row>
    <row r="835" spans="1:5">
      <c r="A835" s="11" t="s">
        <v>1125</v>
      </c>
      <c r="B835" s="11" t="s">
        <v>1126</v>
      </c>
      <c r="C835" s="14">
        <v>5</v>
      </c>
    </row>
    <row r="836" spans="1:5">
      <c r="A836" s="11" t="s">
        <v>1127</v>
      </c>
      <c r="B836" s="11" t="s">
        <v>1128</v>
      </c>
      <c r="C836" s="14">
        <v>5</v>
      </c>
    </row>
    <row r="837" spans="1:5">
      <c r="A837" s="11" t="s">
        <v>2021</v>
      </c>
      <c r="B837" s="11" t="s">
        <v>1136</v>
      </c>
      <c r="C837" s="14">
        <v>5</v>
      </c>
      <c r="D837" s="15"/>
      <c r="E837" s="15"/>
    </row>
    <row r="838" spans="1:5">
      <c r="A838" s="11" t="s">
        <v>1129</v>
      </c>
      <c r="B838" s="11" t="s">
        <v>1130</v>
      </c>
      <c r="C838" s="14">
        <v>5</v>
      </c>
      <c r="D838" s="15"/>
      <c r="E838" s="15"/>
    </row>
    <row r="839" spans="1:5">
      <c r="A839" s="11" t="s">
        <v>1131</v>
      </c>
      <c r="B839" s="11" t="s">
        <v>1132</v>
      </c>
      <c r="C839" s="14">
        <v>5</v>
      </c>
      <c r="D839" s="15"/>
      <c r="E839" s="15"/>
    </row>
    <row r="840" spans="1:5">
      <c r="A840" s="11" t="s">
        <v>1133</v>
      </c>
      <c r="B840" s="11" t="s">
        <v>1134</v>
      </c>
      <c r="C840" s="14">
        <v>5</v>
      </c>
      <c r="D840" s="15"/>
      <c r="E840" s="15"/>
    </row>
    <row r="841" spans="1:5">
      <c r="A841" s="11" t="s">
        <v>1135</v>
      </c>
      <c r="B841" s="11" t="s">
        <v>1136</v>
      </c>
      <c r="C841" s="14">
        <v>5</v>
      </c>
      <c r="D841" s="15"/>
      <c r="E841" s="15"/>
    </row>
    <row r="842" spans="1:5">
      <c r="A842" s="11" t="s">
        <v>2353</v>
      </c>
      <c r="B842" s="11" t="s">
        <v>2605</v>
      </c>
      <c r="C842" s="14">
        <v>5</v>
      </c>
      <c r="D842" s="15"/>
      <c r="E842" s="15"/>
    </row>
    <row r="843" spans="1:5">
      <c r="A843" s="32" t="s">
        <v>2609</v>
      </c>
      <c r="B843" s="32" t="s">
        <v>2607</v>
      </c>
      <c r="C843" s="14">
        <v>5</v>
      </c>
    </row>
    <row r="844" spans="1:5">
      <c r="A844" s="32" t="s">
        <v>2606</v>
      </c>
      <c r="B844" s="33" t="s">
        <v>2610</v>
      </c>
      <c r="C844" s="14">
        <v>5</v>
      </c>
    </row>
    <row r="845" spans="1:5">
      <c r="A845" s="11" t="s">
        <v>2612</v>
      </c>
      <c r="B845" s="33" t="s">
        <v>2611</v>
      </c>
      <c r="C845" s="14">
        <v>5</v>
      </c>
    </row>
    <row r="846" spans="1:5">
      <c r="A846" s="32" t="s">
        <v>2613</v>
      </c>
      <c r="B846" s="33" t="s">
        <v>2614</v>
      </c>
      <c r="C846" s="14">
        <v>5</v>
      </c>
    </row>
    <row r="847" spans="1:5">
      <c r="A847" s="32" t="s">
        <v>2615</v>
      </c>
      <c r="B847" s="32" t="s">
        <v>2608</v>
      </c>
      <c r="C847" s="14">
        <v>5</v>
      </c>
    </row>
    <row r="848" spans="1:5">
      <c r="A848" s="32" t="s">
        <v>2616</v>
      </c>
      <c r="B848" s="32" t="s">
        <v>2617</v>
      </c>
      <c r="C848" s="14">
        <v>5</v>
      </c>
    </row>
    <row r="849" spans="1:3">
      <c r="A849" s="32" t="s">
        <v>2618</v>
      </c>
      <c r="B849" s="32" t="s">
        <v>2619</v>
      </c>
      <c r="C849" s="14">
        <v>5</v>
      </c>
    </row>
    <row r="850" spans="1:3">
      <c r="A850" s="11" t="str">
        <f>"06.2"</f>
        <v>06.2</v>
      </c>
      <c r="B850" s="11" t="s">
        <v>2024</v>
      </c>
      <c r="C850" s="14">
        <v>5</v>
      </c>
    </row>
    <row r="851" spans="1:3">
      <c r="A851" s="11" t="s">
        <v>2022</v>
      </c>
      <c r="B851" s="11" t="s">
        <v>2023</v>
      </c>
      <c r="C851" s="14">
        <v>5</v>
      </c>
    </row>
    <row r="852" spans="1:3">
      <c r="A852" s="11" t="s">
        <v>1137</v>
      </c>
      <c r="B852" s="11" t="s">
        <v>1138</v>
      </c>
      <c r="C852" s="14">
        <v>5</v>
      </c>
    </row>
    <row r="853" spans="1:3">
      <c r="A853" s="11" t="s">
        <v>1139</v>
      </c>
      <c r="B853" s="11" t="s">
        <v>1140</v>
      </c>
      <c r="C853" s="14">
        <v>5</v>
      </c>
    </row>
    <row r="854" spans="1:3">
      <c r="A854" s="11" t="s">
        <v>2025</v>
      </c>
      <c r="B854" s="11" t="s">
        <v>2026</v>
      </c>
      <c r="C854" s="14">
        <v>5</v>
      </c>
    </row>
    <row r="855" spans="1:3">
      <c r="A855" s="11" t="s">
        <v>1141</v>
      </c>
      <c r="B855" s="11" t="s">
        <v>1142</v>
      </c>
      <c r="C855" s="14">
        <v>5</v>
      </c>
    </row>
    <row r="856" spans="1:3">
      <c r="A856" s="11" t="s">
        <v>2027</v>
      </c>
      <c r="B856" s="11" t="s">
        <v>2028</v>
      </c>
      <c r="C856" s="14">
        <v>5</v>
      </c>
    </row>
    <row r="857" spans="1:3">
      <c r="A857" s="11" t="s">
        <v>1143</v>
      </c>
      <c r="B857" s="11" t="s">
        <v>1144</v>
      </c>
      <c r="C857" s="14">
        <v>5</v>
      </c>
    </row>
    <row r="858" spans="1:3">
      <c r="A858" s="11" t="s">
        <v>1145</v>
      </c>
      <c r="B858" s="11" t="s">
        <v>1146</v>
      </c>
      <c r="C858" s="14">
        <v>5</v>
      </c>
    </row>
    <row r="859" spans="1:3">
      <c r="A859" s="11" t="s">
        <v>1147</v>
      </c>
      <c r="B859" s="11" t="s">
        <v>1148</v>
      </c>
      <c r="C859" s="14">
        <v>5</v>
      </c>
    </row>
    <row r="860" spans="1:3">
      <c r="A860" s="11" t="s">
        <v>1149</v>
      </c>
      <c r="B860" s="11" t="s">
        <v>1150</v>
      </c>
      <c r="C860" s="14">
        <v>5</v>
      </c>
    </row>
    <row r="861" spans="1:3">
      <c r="A861" s="11" t="s">
        <v>1151</v>
      </c>
      <c r="B861" s="11" t="s">
        <v>1152</v>
      </c>
      <c r="C861" s="14">
        <v>5</v>
      </c>
    </row>
    <row r="862" spans="1:3">
      <c r="A862" s="11" t="s">
        <v>1153</v>
      </c>
      <c r="B862" s="11" t="s">
        <v>1154</v>
      </c>
      <c r="C862" s="14">
        <v>5</v>
      </c>
    </row>
    <row r="863" spans="1:3">
      <c r="A863" s="11" t="s">
        <v>1155</v>
      </c>
      <c r="B863" s="11" t="s">
        <v>1156</v>
      </c>
      <c r="C863" s="14">
        <v>5</v>
      </c>
    </row>
    <row r="864" spans="1:3">
      <c r="A864" s="11" t="s">
        <v>1157</v>
      </c>
      <c r="B864" s="11" t="s">
        <v>1158</v>
      </c>
      <c r="C864" s="14">
        <v>5</v>
      </c>
    </row>
    <row r="865" spans="1:3">
      <c r="A865" s="11" t="str">
        <f>"06.3"</f>
        <v>06.3</v>
      </c>
      <c r="B865" s="11" t="s">
        <v>1159</v>
      </c>
      <c r="C865" s="14">
        <v>5</v>
      </c>
    </row>
    <row r="866" spans="1:3">
      <c r="A866" s="11" t="s">
        <v>2029</v>
      </c>
      <c r="B866" s="11" t="s">
        <v>1159</v>
      </c>
      <c r="C866" s="14">
        <v>5</v>
      </c>
    </row>
    <row r="867" spans="1:3">
      <c r="A867" s="11" t="str">
        <f>"07"</f>
        <v>07</v>
      </c>
      <c r="B867" s="11" t="s">
        <v>2030</v>
      </c>
      <c r="C867" s="14">
        <v>5</v>
      </c>
    </row>
    <row r="868" spans="1:3">
      <c r="A868" s="11" t="str">
        <f>"07.1"</f>
        <v>07.1</v>
      </c>
      <c r="B868" s="11" t="s">
        <v>2031</v>
      </c>
      <c r="C868" s="14">
        <v>5</v>
      </c>
    </row>
    <row r="869" spans="1:3">
      <c r="A869" s="11" t="str">
        <f>"07.1.1"</f>
        <v>07.1.1</v>
      </c>
      <c r="B869" s="11" t="s">
        <v>2355</v>
      </c>
      <c r="C869" s="14">
        <v>5</v>
      </c>
    </row>
    <row r="870" spans="1:3">
      <c r="A870" s="11" t="str">
        <f>"07.1.1.1"</f>
        <v>07.1.1.1</v>
      </c>
      <c r="B870" s="11" t="s">
        <v>2354</v>
      </c>
      <c r="C870" s="14">
        <v>5</v>
      </c>
    </row>
    <row r="871" spans="1:3">
      <c r="A871" s="11" t="s">
        <v>1160</v>
      </c>
      <c r="B871" s="11" t="s">
        <v>1161</v>
      </c>
      <c r="C871" s="14">
        <v>5</v>
      </c>
    </row>
    <row r="872" spans="1:3">
      <c r="A872" s="11" t="s">
        <v>1162</v>
      </c>
      <c r="B872" s="11" t="s">
        <v>1163</v>
      </c>
      <c r="C872" s="14">
        <v>5</v>
      </c>
    </row>
    <row r="873" spans="1:3">
      <c r="A873" s="11" t="s">
        <v>1164</v>
      </c>
      <c r="B873" s="11" t="s">
        <v>1165</v>
      </c>
      <c r="C873" s="14">
        <v>5</v>
      </c>
    </row>
    <row r="874" spans="1:3">
      <c r="A874" s="11" t="s">
        <v>1166</v>
      </c>
      <c r="B874" s="11" t="s">
        <v>1167</v>
      </c>
      <c r="C874" s="14">
        <v>5</v>
      </c>
    </row>
    <row r="875" spans="1:3">
      <c r="A875" s="11" t="s">
        <v>2356</v>
      </c>
      <c r="B875" s="11" t="s">
        <v>2357</v>
      </c>
      <c r="C875" s="14">
        <v>5</v>
      </c>
    </row>
    <row r="876" spans="1:3">
      <c r="A876" s="11" t="s">
        <v>1168</v>
      </c>
      <c r="B876" s="11" t="s">
        <v>1169</v>
      </c>
      <c r="C876" s="14">
        <v>5</v>
      </c>
    </row>
    <row r="877" spans="1:3">
      <c r="A877" s="11" t="s">
        <v>1170</v>
      </c>
      <c r="B877" s="11" t="s">
        <v>1171</v>
      </c>
      <c r="C877" s="14">
        <v>5</v>
      </c>
    </row>
    <row r="878" spans="1:3">
      <c r="A878" s="11" t="s">
        <v>1172</v>
      </c>
      <c r="B878" s="11" t="s">
        <v>1173</v>
      </c>
      <c r="C878" s="14">
        <v>5</v>
      </c>
    </row>
    <row r="879" spans="1:3">
      <c r="A879" s="11" t="s">
        <v>1174</v>
      </c>
      <c r="B879" s="11" t="s">
        <v>1175</v>
      </c>
      <c r="C879" s="14">
        <v>5</v>
      </c>
    </row>
    <row r="880" spans="1:3">
      <c r="A880" s="11" t="s">
        <v>2032</v>
      </c>
      <c r="B880" s="11" t="s">
        <v>2358</v>
      </c>
      <c r="C880" s="14">
        <v>5</v>
      </c>
    </row>
    <row r="881" spans="1:3">
      <c r="A881" s="11" t="s">
        <v>2033</v>
      </c>
      <c r="B881" s="11" t="s">
        <v>2358</v>
      </c>
      <c r="C881" s="14">
        <v>5</v>
      </c>
    </row>
    <row r="882" spans="1:3">
      <c r="A882" s="11" t="s">
        <v>1176</v>
      </c>
      <c r="B882" s="11" t="s">
        <v>1177</v>
      </c>
      <c r="C882" s="14">
        <v>5</v>
      </c>
    </row>
    <row r="883" spans="1:3">
      <c r="A883" s="11" t="s">
        <v>1178</v>
      </c>
      <c r="B883" s="11" t="s">
        <v>1179</v>
      </c>
      <c r="C883" s="14">
        <v>5</v>
      </c>
    </row>
    <row r="884" spans="1:3">
      <c r="A884" s="11" t="s">
        <v>2034</v>
      </c>
      <c r="B884" s="11" t="s">
        <v>2359</v>
      </c>
      <c r="C884" s="14">
        <v>5</v>
      </c>
    </row>
    <row r="885" spans="1:3">
      <c r="A885" s="11" t="s">
        <v>2035</v>
      </c>
      <c r="B885" s="11" t="s">
        <v>2359</v>
      </c>
      <c r="C885" s="14">
        <v>5</v>
      </c>
    </row>
    <row r="886" spans="1:3">
      <c r="A886" s="11" t="s">
        <v>1180</v>
      </c>
      <c r="B886" s="11" t="s">
        <v>1181</v>
      </c>
      <c r="C886" s="14">
        <v>5</v>
      </c>
    </row>
    <row r="887" spans="1:3">
      <c r="A887" s="11" t="s">
        <v>1182</v>
      </c>
      <c r="B887" s="11" t="s">
        <v>1183</v>
      </c>
      <c r="C887" s="14">
        <v>5</v>
      </c>
    </row>
    <row r="888" spans="1:3">
      <c r="A888" s="11" t="s">
        <v>1184</v>
      </c>
      <c r="B888" s="11" t="s">
        <v>1185</v>
      </c>
      <c r="C888" s="14">
        <v>5</v>
      </c>
    </row>
    <row r="889" spans="1:3">
      <c r="A889" s="11" t="s">
        <v>2036</v>
      </c>
      <c r="B889" s="11" t="s">
        <v>1187</v>
      </c>
      <c r="C889" s="14">
        <v>5</v>
      </c>
    </row>
    <row r="890" spans="1:3">
      <c r="A890" s="11" t="s">
        <v>2037</v>
      </c>
      <c r="B890" s="11" t="s">
        <v>1187</v>
      </c>
      <c r="C890" s="14">
        <v>5</v>
      </c>
    </row>
    <row r="891" spans="1:3">
      <c r="A891" s="11" t="s">
        <v>1186</v>
      </c>
      <c r="B891" s="11" t="s">
        <v>1187</v>
      </c>
      <c r="C891" s="14">
        <v>5</v>
      </c>
    </row>
    <row r="892" spans="1:3">
      <c r="A892" s="11" t="str">
        <f>"07.2"</f>
        <v>07.2</v>
      </c>
      <c r="B892" s="11" t="s">
        <v>2044</v>
      </c>
      <c r="C892" s="14">
        <v>5</v>
      </c>
    </row>
    <row r="893" spans="1:3">
      <c r="A893" s="11" t="s">
        <v>2038</v>
      </c>
      <c r="B893" s="11" t="s">
        <v>2045</v>
      </c>
      <c r="C893" s="14">
        <v>5</v>
      </c>
    </row>
    <row r="894" spans="1:3">
      <c r="A894" s="11" t="s">
        <v>2039</v>
      </c>
      <c r="B894" s="11" t="s">
        <v>2360</v>
      </c>
      <c r="C894" s="14">
        <v>5</v>
      </c>
    </row>
    <row r="895" spans="1:3">
      <c r="A895" s="11" t="s">
        <v>1188</v>
      </c>
      <c r="B895" s="11" t="s">
        <v>1189</v>
      </c>
      <c r="C895" s="14">
        <v>5</v>
      </c>
    </row>
    <row r="896" spans="1:3">
      <c r="A896" s="11" t="s">
        <v>1190</v>
      </c>
      <c r="B896" s="11" t="s">
        <v>1191</v>
      </c>
      <c r="C896" s="14">
        <v>5</v>
      </c>
    </row>
    <row r="897" spans="1:6">
      <c r="A897" s="11" t="s">
        <v>2040</v>
      </c>
      <c r="B897" s="11" t="s">
        <v>2361</v>
      </c>
      <c r="C897" s="14">
        <v>5</v>
      </c>
    </row>
    <row r="898" spans="1:6">
      <c r="A898" s="11" t="s">
        <v>1192</v>
      </c>
      <c r="B898" s="11" t="s">
        <v>1193</v>
      </c>
      <c r="C898" s="14">
        <v>5</v>
      </c>
    </row>
    <row r="899" spans="1:6">
      <c r="A899" s="11" t="s">
        <v>2814</v>
      </c>
      <c r="B899" s="11" t="s">
        <v>1922</v>
      </c>
      <c r="C899" s="14">
        <v>5</v>
      </c>
    </row>
    <row r="900" spans="1:6">
      <c r="A900" s="11" t="s">
        <v>2041</v>
      </c>
      <c r="B900" s="11" t="s">
        <v>2362</v>
      </c>
      <c r="C900" s="14">
        <v>5</v>
      </c>
    </row>
    <row r="901" spans="1:6">
      <c r="A901" s="11" t="s">
        <v>1194</v>
      </c>
      <c r="B901" s="11" t="s">
        <v>1195</v>
      </c>
      <c r="C901" s="14">
        <v>5</v>
      </c>
    </row>
    <row r="902" spans="1:6">
      <c r="A902" s="11" t="s">
        <v>1196</v>
      </c>
      <c r="B902" s="11" t="s">
        <v>1197</v>
      </c>
      <c r="C902" s="14">
        <v>5</v>
      </c>
    </row>
    <row r="903" spans="1:6">
      <c r="A903" s="11" t="s">
        <v>1198</v>
      </c>
      <c r="B903" s="11" t="s">
        <v>1199</v>
      </c>
      <c r="C903" s="14">
        <v>5</v>
      </c>
    </row>
    <row r="904" spans="1:6">
      <c r="A904" s="11" t="s">
        <v>1200</v>
      </c>
      <c r="B904" s="11" t="s">
        <v>1201</v>
      </c>
      <c r="C904" s="14">
        <v>5</v>
      </c>
    </row>
    <row r="905" spans="1:6">
      <c r="A905" s="4" t="s">
        <v>2887</v>
      </c>
      <c r="B905" s="4" t="s">
        <v>2888</v>
      </c>
      <c r="C905" s="17">
        <v>5</v>
      </c>
      <c r="D905" s="18">
        <v>42292</v>
      </c>
      <c r="E905" s="26" t="s">
        <v>2897</v>
      </c>
    </row>
    <row r="906" spans="1:6">
      <c r="A906" s="11" t="s">
        <v>2042</v>
      </c>
      <c r="B906" s="11" t="s">
        <v>2046</v>
      </c>
      <c r="C906" s="14">
        <v>5</v>
      </c>
      <c r="E906" s="15"/>
      <c r="F906" s="15"/>
    </row>
    <row r="907" spans="1:6">
      <c r="A907" s="15" t="s">
        <v>2043</v>
      </c>
      <c r="B907" s="15" t="s">
        <v>1202</v>
      </c>
      <c r="C907" s="14">
        <v>5</v>
      </c>
    </row>
    <row r="908" spans="1:6">
      <c r="A908" s="15" t="s">
        <v>2363</v>
      </c>
      <c r="B908" s="15" t="s">
        <v>1203</v>
      </c>
      <c r="C908" s="14">
        <v>5</v>
      </c>
    </row>
    <row r="909" spans="1:6">
      <c r="A909" s="15" t="s">
        <v>2364</v>
      </c>
      <c r="B909" s="15" t="s">
        <v>2365</v>
      </c>
      <c r="C909" s="14">
        <v>5</v>
      </c>
    </row>
    <row r="910" spans="1:6">
      <c r="A910" s="11" t="s">
        <v>1204</v>
      </c>
      <c r="B910" s="11" t="s">
        <v>1205</v>
      </c>
      <c r="C910" s="14">
        <v>5</v>
      </c>
    </row>
    <row r="911" spans="1:6">
      <c r="A911" s="11" t="s">
        <v>1206</v>
      </c>
      <c r="B911" s="11" t="s">
        <v>1207</v>
      </c>
      <c r="C911" s="14">
        <v>5</v>
      </c>
    </row>
    <row r="912" spans="1:6">
      <c r="A912" s="11" t="s">
        <v>2575</v>
      </c>
      <c r="B912" s="11" t="s">
        <v>2576</v>
      </c>
      <c r="C912" s="14">
        <v>5</v>
      </c>
    </row>
    <row r="913" spans="1:3">
      <c r="A913" s="11" t="s">
        <v>1208</v>
      </c>
      <c r="B913" s="11" t="s">
        <v>1209</v>
      </c>
      <c r="C913" s="14">
        <v>5</v>
      </c>
    </row>
    <row r="914" spans="1:3">
      <c r="A914" s="15" t="s">
        <v>2048</v>
      </c>
      <c r="B914" s="15" t="s">
        <v>2047</v>
      </c>
      <c r="C914" s="14">
        <v>5</v>
      </c>
    </row>
    <row r="915" spans="1:3">
      <c r="A915" s="15" t="s">
        <v>2049</v>
      </c>
      <c r="B915" s="15" t="s">
        <v>2577</v>
      </c>
      <c r="C915" s="14">
        <v>5</v>
      </c>
    </row>
    <row r="916" spans="1:3">
      <c r="A916" s="15" t="s">
        <v>1210</v>
      </c>
      <c r="B916" s="15" t="s">
        <v>1211</v>
      </c>
      <c r="C916" s="14">
        <v>5</v>
      </c>
    </row>
    <row r="917" spans="1:3">
      <c r="A917" s="15" t="s">
        <v>1212</v>
      </c>
      <c r="B917" s="15" t="s">
        <v>1213</v>
      </c>
      <c r="C917" s="14">
        <v>5</v>
      </c>
    </row>
    <row r="918" spans="1:3">
      <c r="A918" s="15" t="s">
        <v>2050</v>
      </c>
      <c r="B918" s="15" t="s">
        <v>2579</v>
      </c>
      <c r="C918" s="14">
        <v>5</v>
      </c>
    </row>
    <row r="919" spans="1:3">
      <c r="A919" s="15" t="s">
        <v>2578</v>
      </c>
      <c r="B919" s="15" t="s">
        <v>1215</v>
      </c>
      <c r="C919" s="14">
        <v>5</v>
      </c>
    </row>
    <row r="920" spans="1:3">
      <c r="A920" s="15" t="s">
        <v>1214</v>
      </c>
      <c r="B920" s="15" t="s">
        <v>1217</v>
      </c>
      <c r="C920" s="14">
        <v>5</v>
      </c>
    </row>
    <row r="921" spans="1:3">
      <c r="A921" s="15" t="s">
        <v>1216</v>
      </c>
      <c r="B921" s="15" t="s">
        <v>1218</v>
      </c>
      <c r="C921" s="14">
        <v>5</v>
      </c>
    </row>
    <row r="922" spans="1:3">
      <c r="A922" s="15" t="s">
        <v>2842</v>
      </c>
      <c r="B922" s="15" t="s">
        <v>2843</v>
      </c>
      <c r="C922" s="14">
        <v>5</v>
      </c>
    </row>
    <row r="923" spans="1:3">
      <c r="A923" s="11" t="s">
        <v>2056</v>
      </c>
      <c r="B923" s="25" t="s">
        <v>2055</v>
      </c>
      <c r="C923" s="14">
        <v>5</v>
      </c>
    </row>
    <row r="924" spans="1:3">
      <c r="A924" s="11" t="s">
        <v>2051</v>
      </c>
      <c r="B924" s="11" t="s">
        <v>2366</v>
      </c>
      <c r="C924" s="14">
        <v>5</v>
      </c>
    </row>
    <row r="925" spans="1:3">
      <c r="A925" s="11" t="s">
        <v>1219</v>
      </c>
      <c r="B925" s="11" t="s">
        <v>1220</v>
      </c>
      <c r="C925" s="14">
        <v>5</v>
      </c>
    </row>
    <row r="926" spans="1:3">
      <c r="A926" s="11" t="s">
        <v>1221</v>
      </c>
      <c r="B926" s="11" t="s">
        <v>1222</v>
      </c>
      <c r="C926" s="14">
        <v>5</v>
      </c>
    </row>
    <row r="927" spans="1:3">
      <c r="A927" s="11" t="s">
        <v>1223</v>
      </c>
      <c r="B927" s="11" t="s">
        <v>1224</v>
      </c>
      <c r="C927" s="14">
        <v>5</v>
      </c>
    </row>
    <row r="928" spans="1:3">
      <c r="A928" s="11" t="s">
        <v>2052</v>
      </c>
      <c r="B928" s="11" t="s">
        <v>2367</v>
      </c>
      <c r="C928" s="14">
        <v>5</v>
      </c>
    </row>
    <row r="929" spans="1:6">
      <c r="A929" s="11" t="s">
        <v>1225</v>
      </c>
      <c r="B929" s="11" t="s">
        <v>1226</v>
      </c>
      <c r="C929" s="14">
        <v>5</v>
      </c>
    </row>
    <row r="930" spans="1:6">
      <c r="A930" s="11" t="s">
        <v>1227</v>
      </c>
      <c r="B930" s="11" t="s">
        <v>1228</v>
      </c>
      <c r="C930" s="14">
        <v>5</v>
      </c>
      <c r="F930" s="24"/>
    </row>
    <row r="931" spans="1:6">
      <c r="A931" s="11" t="s">
        <v>2580</v>
      </c>
      <c r="B931" s="11" t="s">
        <v>2581</v>
      </c>
      <c r="C931" s="14">
        <v>5</v>
      </c>
    </row>
    <row r="932" spans="1:6">
      <c r="A932" s="11" t="s">
        <v>1229</v>
      </c>
      <c r="B932" s="11" t="s">
        <v>1230</v>
      </c>
      <c r="C932" s="14">
        <v>5</v>
      </c>
    </row>
    <row r="933" spans="1:6">
      <c r="A933" s="11" t="s">
        <v>1231</v>
      </c>
      <c r="B933" s="11" t="s">
        <v>1232</v>
      </c>
      <c r="C933" s="14">
        <v>5</v>
      </c>
    </row>
    <row r="934" spans="1:6">
      <c r="A934" s="11" t="s">
        <v>1233</v>
      </c>
      <c r="B934" s="11" t="s">
        <v>1234</v>
      </c>
      <c r="C934" s="14">
        <v>5</v>
      </c>
    </row>
    <row r="935" spans="1:6">
      <c r="A935" s="11" t="s">
        <v>1235</v>
      </c>
      <c r="B935" s="11" t="s">
        <v>1236</v>
      </c>
      <c r="C935" s="14">
        <v>5</v>
      </c>
    </row>
    <row r="936" spans="1:6">
      <c r="A936" s="11" t="str">
        <f>"07.3"</f>
        <v>07.3</v>
      </c>
      <c r="B936" s="11" t="s">
        <v>2057</v>
      </c>
      <c r="C936" s="14">
        <v>5</v>
      </c>
    </row>
    <row r="937" spans="1:6">
      <c r="A937" s="11" t="s">
        <v>2053</v>
      </c>
      <c r="B937" s="11" t="s">
        <v>2058</v>
      </c>
      <c r="C937" s="14">
        <v>5</v>
      </c>
    </row>
    <row r="938" spans="1:6">
      <c r="A938" s="11" t="s">
        <v>2054</v>
      </c>
      <c r="B938" s="11" t="s">
        <v>2368</v>
      </c>
      <c r="C938" s="14">
        <v>5</v>
      </c>
    </row>
    <row r="939" spans="1:6">
      <c r="A939" s="11" t="s">
        <v>1237</v>
      </c>
      <c r="B939" s="11" t="s">
        <v>1238</v>
      </c>
      <c r="C939" s="14">
        <v>5</v>
      </c>
    </row>
    <row r="940" spans="1:6">
      <c r="A940" s="11" t="s">
        <v>1239</v>
      </c>
      <c r="B940" s="11" t="s">
        <v>1240</v>
      </c>
      <c r="C940" s="14">
        <v>5</v>
      </c>
    </row>
    <row r="941" spans="1:6">
      <c r="A941" s="11" t="s">
        <v>2369</v>
      </c>
      <c r="B941" s="11" t="s">
        <v>2370</v>
      </c>
      <c r="C941" s="14">
        <v>5</v>
      </c>
    </row>
    <row r="942" spans="1:6">
      <c r="A942" s="11" t="s">
        <v>1241</v>
      </c>
      <c r="B942" s="11" t="s">
        <v>1242</v>
      </c>
      <c r="C942" s="14">
        <v>5</v>
      </c>
    </row>
    <row r="943" spans="1:6">
      <c r="A943" s="11" t="s">
        <v>1243</v>
      </c>
      <c r="B943" s="11" t="s">
        <v>1244</v>
      </c>
      <c r="C943" s="14">
        <v>5</v>
      </c>
    </row>
    <row r="944" spans="1:6">
      <c r="A944" s="11" t="s">
        <v>2059</v>
      </c>
      <c r="B944" s="25" t="s">
        <v>2064</v>
      </c>
      <c r="C944" s="14">
        <v>5</v>
      </c>
    </row>
    <row r="945" spans="1:3">
      <c r="A945" s="11" t="s">
        <v>2060</v>
      </c>
      <c r="B945" s="11" t="s">
        <v>2371</v>
      </c>
      <c r="C945" s="14">
        <v>5</v>
      </c>
    </row>
    <row r="946" spans="1:3">
      <c r="A946" s="11" t="s">
        <v>1245</v>
      </c>
      <c r="B946" s="11" t="s">
        <v>1246</v>
      </c>
      <c r="C946" s="14">
        <v>5</v>
      </c>
    </row>
    <row r="947" spans="1:3">
      <c r="A947" s="11" t="s">
        <v>1247</v>
      </c>
      <c r="B947" s="11" t="s">
        <v>1248</v>
      </c>
      <c r="C947" s="14">
        <v>5</v>
      </c>
    </row>
    <row r="948" spans="1:3">
      <c r="A948" s="11" t="s">
        <v>1249</v>
      </c>
      <c r="B948" s="11" t="s">
        <v>1250</v>
      </c>
      <c r="C948" s="14">
        <v>5</v>
      </c>
    </row>
    <row r="949" spans="1:3">
      <c r="A949" s="11" t="s">
        <v>2372</v>
      </c>
      <c r="B949" s="11" t="s">
        <v>2373</v>
      </c>
      <c r="C949" s="14">
        <v>5</v>
      </c>
    </row>
    <row r="950" spans="1:3">
      <c r="A950" s="11" t="s">
        <v>1251</v>
      </c>
      <c r="B950" s="11" t="s">
        <v>1252</v>
      </c>
      <c r="C950" s="14">
        <v>5</v>
      </c>
    </row>
    <row r="951" spans="1:3">
      <c r="A951" s="11" t="s">
        <v>2061</v>
      </c>
      <c r="B951" s="25" t="s">
        <v>2065</v>
      </c>
      <c r="C951" s="14">
        <v>5</v>
      </c>
    </row>
    <row r="952" spans="1:3">
      <c r="A952" s="11" t="s">
        <v>1253</v>
      </c>
      <c r="B952" s="11" t="s">
        <v>1254</v>
      </c>
      <c r="C952" s="14">
        <v>5</v>
      </c>
    </row>
    <row r="953" spans="1:3">
      <c r="A953" s="11" t="s">
        <v>1255</v>
      </c>
      <c r="B953" s="11" t="s">
        <v>1256</v>
      </c>
      <c r="C953" s="14">
        <v>5</v>
      </c>
    </row>
    <row r="954" spans="1:3">
      <c r="A954" s="11" t="s">
        <v>2062</v>
      </c>
      <c r="B954" s="11" t="s">
        <v>2066</v>
      </c>
      <c r="C954" s="14">
        <v>5</v>
      </c>
    </row>
    <row r="955" spans="1:3">
      <c r="A955" s="11" t="s">
        <v>1257</v>
      </c>
      <c r="B955" s="11" t="s">
        <v>1258</v>
      </c>
      <c r="C955" s="14">
        <v>5</v>
      </c>
    </row>
    <row r="956" spans="1:3">
      <c r="A956" s="11" t="s">
        <v>1259</v>
      </c>
      <c r="B956" s="11" t="s">
        <v>1260</v>
      </c>
      <c r="C956" s="14">
        <v>5</v>
      </c>
    </row>
    <row r="957" spans="1:3">
      <c r="A957" s="11" t="s">
        <v>2063</v>
      </c>
      <c r="B957" s="11" t="s">
        <v>2067</v>
      </c>
      <c r="C957" s="14">
        <v>5</v>
      </c>
    </row>
    <row r="958" spans="1:3">
      <c r="A958" s="11" t="s">
        <v>1261</v>
      </c>
      <c r="B958" s="11" t="s">
        <v>1262</v>
      </c>
      <c r="C958" s="14">
        <v>5</v>
      </c>
    </row>
    <row r="959" spans="1:3">
      <c r="A959" s="11" t="s">
        <v>1263</v>
      </c>
      <c r="B959" s="11" t="s">
        <v>1264</v>
      </c>
      <c r="C959" s="14">
        <v>5</v>
      </c>
    </row>
    <row r="960" spans="1:3">
      <c r="A960" s="11" t="s">
        <v>2068</v>
      </c>
      <c r="B960" s="11" t="s">
        <v>1274</v>
      </c>
      <c r="C960" s="14">
        <v>5</v>
      </c>
    </row>
    <row r="961" spans="1:3">
      <c r="A961" s="11" t="s">
        <v>1265</v>
      </c>
      <c r="B961" s="11" t="s">
        <v>1266</v>
      </c>
      <c r="C961" s="14">
        <v>5</v>
      </c>
    </row>
    <row r="962" spans="1:3">
      <c r="A962" s="11" t="s">
        <v>2069</v>
      </c>
      <c r="B962" s="11" t="s">
        <v>2374</v>
      </c>
      <c r="C962" s="14">
        <v>5</v>
      </c>
    </row>
    <row r="963" spans="1:3">
      <c r="A963" s="11" t="s">
        <v>1267</v>
      </c>
      <c r="B963" s="11" t="s">
        <v>1268</v>
      </c>
      <c r="C963" s="14">
        <v>5</v>
      </c>
    </row>
    <row r="964" spans="1:3">
      <c r="A964" s="11" t="s">
        <v>1269</v>
      </c>
      <c r="B964" s="11" t="s">
        <v>1270</v>
      </c>
      <c r="C964" s="14">
        <v>5</v>
      </c>
    </row>
    <row r="965" spans="1:3">
      <c r="A965" s="11" t="s">
        <v>2070</v>
      </c>
      <c r="B965" s="11" t="s">
        <v>2375</v>
      </c>
      <c r="C965" s="14">
        <v>5</v>
      </c>
    </row>
    <row r="966" spans="1:3">
      <c r="A966" s="11" t="s">
        <v>1271</v>
      </c>
      <c r="B966" s="11" t="s">
        <v>1272</v>
      </c>
      <c r="C966" s="14">
        <v>5</v>
      </c>
    </row>
    <row r="967" spans="1:3">
      <c r="A967" s="11" t="s">
        <v>1273</v>
      </c>
      <c r="B967" s="11" t="s">
        <v>1274</v>
      </c>
      <c r="C967" s="14">
        <v>5</v>
      </c>
    </row>
    <row r="968" spans="1:3">
      <c r="A968" s="11" t="str">
        <f>"08"</f>
        <v>08</v>
      </c>
      <c r="B968" s="11" t="s">
        <v>2072</v>
      </c>
      <c r="C968" s="14">
        <v>5</v>
      </c>
    </row>
    <row r="969" spans="1:3">
      <c r="A969" s="11" t="str">
        <f>"08.1"</f>
        <v>08.1</v>
      </c>
      <c r="B969" s="11" t="s">
        <v>2073</v>
      </c>
      <c r="C969" s="14">
        <v>5</v>
      </c>
    </row>
    <row r="970" spans="1:3">
      <c r="A970" s="11" t="s">
        <v>1275</v>
      </c>
      <c r="B970" s="11" t="s">
        <v>1276</v>
      </c>
      <c r="C970" s="14">
        <v>5</v>
      </c>
    </row>
    <row r="971" spans="1:3">
      <c r="A971" s="11" t="s">
        <v>1277</v>
      </c>
      <c r="B971" s="11" t="s">
        <v>1278</v>
      </c>
      <c r="C971" s="14">
        <v>5</v>
      </c>
    </row>
    <row r="972" spans="1:3">
      <c r="A972" s="11" t="str">
        <f>"08.2"</f>
        <v>08.2</v>
      </c>
      <c r="B972" s="11" t="s">
        <v>2376</v>
      </c>
      <c r="C972" s="14">
        <v>5</v>
      </c>
    </row>
    <row r="973" spans="1:3">
      <c r="A973" s="11" t="s">
        <v>1279</v>
      </c>
      <c r="B973" s="11" t="s">
        <v>1280</v>
      </c>
      <c r="C973" s="14">
        <v>5</v>
      </c>
    </row>
    <row r="974" spans="1:3">
      <c r="A974" s="11" t="s">
        <v>1281</v>
      </c>
      <c r="B974" s="11" t="s">
        <v>1282</v>
      </c>
      <c r="C974" s="14">
        <v>5</v>
      </c>
    </row>
    <row r="975" spans="1:3">
      <c r="A975" s="11" t="s">
        <v>1283</v>
      </c>
      <c r="B975" s="11" t="s">
        <v>1284</v>
      </c>
      <c r="C975" s="14">
        <v>5</v>
      </c>
    </row>
    <row r="976" spans="1:3">
      <c r="A976" s="11" t="s">
        <v>1285</v>
      </c>
      <c r="B976" s="11" t="s">
        <v>1286</v>
      </c>
      <c r="C976" s="14">
        <v>5</v>
      </c>
    </row>
    <row r="977" spans="1:3">
      <c r="A977" s="11" t="str">
        <f>"08.3"</f>
        <v>08.3</v>
      </c>
      <c r="B977" s="11" t="s">
        <v>2377</v>
      </c>
      <c r="C977" s="14">
        <v>5</v>
      </c>
    </row>
    <row r="978" spans="1:3">
      <c r="A978" s="11" t="s">
        <v>2071</v>
      </c>
      <c r="B978" s="11" t="s">
        <v>2378</v>
      </c>
      <c r="C978" s="14">
        <v>5</v>
      </c>
    </row>
    <row r="979" spans="1:3">
      <c r="A979" s="11" t="s">
        <v>1287</v>
      </c>
      <c r="B979" s="11" t="s">
        <v>1288</v>
      </c>
      <c r="C979" s="14">
        <v>5</v>
      </c>
    </row>
    <row r="980" spans="1:3">
      <c r="A980" s="11" t="s">
        <v>1289</v>
      </c>
      <c r="B980" s="11" t="s">
        <v>1290</v>
      </c>
      <c r="C980" s="14">
        <v>5</v>
      </c>
    </row>
    <row r="981" spans="1:3">
      <c r="A981" s="11" t="s">
        <v>1291</v>
      </c>
      <c r="B981" s="11" t="s">
        <v>1292</v>
      </c>
      <c r="C981" s="14">
        <v>5</v>
      </c>
    </row>
    <row r="982" spans="1:3">
      <c r="A982" s="11" t="s">
        <v>2379</v>
      </c>
      <c r="B982" s="11" t="s">
        <v>2380</v>
      </c>
      <c r="C982" s="14">
        <v>5</v>
      </c>
    </row>
    <row r="983" spans="1:3">
      <c r="A983" s="11" t="s">
        <v>1293</v>
      </c>
      <c r="B983" s="11" t="s">
        <v>1294</v>
      </c>
      <c r="C983" s="14">
        <v>5</v>
      </c>
    </row>
    <row r="984" spans="1:3">
      <c r="A984" s="11" t="s">
        <v>1295</v>
      </c>
      <c r="B984" s="11" t="s">
        <v>1296</v>
      </c>
      <c r="C984" s="14">
        <v>5</v>
      </c>
    </row>
    <row r="985" spans="1:3">
      <c r="A985" s="11" t="s">
        <v>1297</v>
      </c>
      <c r="B985" s="11" t="s">
        <v>1298</v>
      </c>
      <c r="C985" s="14">
        <v>5</v>
      </c>
    </row>
    <row r="986" spans="1:3">
      <c r="A986" s="11" t="s">
        <v>2381</v>
      </c>
      <c r="B986" s="11" t="s">
        <v>2382</v>
      </c>
      <c r="C986" s="14">
        <v>5</v>
      </c>
    </row>
    <row r="987" spans="1:3">
      <c r="A987" s="11" t="s">
        <v>1299</v>
      </c>
      <c r="B987" s="11" t="s">
        <v>1300</v>
      </c>
      <c r="C987" s="14">
        <v>5</v>
      </c>
    </row>
    <row r="988" spans="1:3">
      <c r="A988" s="11" t="s">
        <v>1301</v>
      </c>
      <c r="B988" s="11" t="s">
        <v>1302</v>
      </c>
      <c r="C988" s="14">
        <v>5</v>
      </c>
    </row>
    <row r="989" spans="1:3">
      <c r="A989" s="11" t="s">
        <v>1303</v>
      </c>
      <c r="B989" s="11" t="s">
        <v>1304</v>
      </c>
      <c r="C989" s="14">
        <v>5</v>
      </c>
    </row>
    <row r="990" spans="1:3">
      <c r="A990" s="11" t="s">
        <v>1305</v>
      </c>
      <c r="B990" s="11" t="s">
        <v>1306</v>
      </c>
      <c r="C990" s="14">
        <v>5</v>
      </c>
    </row>
    <row r="991" spans="1:3">
      <c r="A991" s="11" t="s">
        <v>1307</v>
      </c>
      <c r="B991" s="11" t="s">
        <v>1308</v>
      </c>
      <c r="C991" s="14">
        <v>5</v>
      </c>
    </row>
    <row r="992" spans="1:3">
      <c r="A992" s="11" t="s">
        <v>1309</v>
      </c>
      <c r="B992" s="11" t="s">
        <v>1310</v>
      </c>
      <c r="C992" s="14">
        <v>5</v>
      </c>
    </row>
    <row r="993" spans="1:4">
      <c r="A993" s="11" t="str">
        <f>"09"</f>
        <v>09</v>
      </c>
      <c r="B993" s="11" t="s">
        <v>2076</v>
      </c>
      <c r="C993" s="14">
        <v>5</v>
      </c>
    </row>
    <row r="994" spans="1:4">
      <c r="A994" s="11" t="str">
        <f>"09.1"</f>
        <v>09.1</v>
      </c>
      <c r="B994" s="25" t="s">
        <v>2077</v>
      </c>
      <c r="C994" s="14">
        <v>5</v>
      </c>
    </row>
    <row r="995" spans="1:4" ht="15">
      <c r="A995" s="11" t="s">
        <v>2074</v>
      </c>
      <c r="B995" s="25" t="s">
        <v>2383</v>
      </c>
      <c r="C995" s="14">
        <v>5</v>
      </c>
      <c r="D995" s="27"/>
    </row>
    <row r="996" spans="1:4" ht="15">
      <c r="A996" s="11" t="s">
        <v>2075</v>
      </c>
      <c r="B996" s="25" t="s">
        <v>2384</v>
      </c>
      <c r="C996" s="14">
        <v>5</v>
      </c>
      <c r="D996" s="28"/>
    </row>
    <row r="997" spans="1:4" ht="17.25" customHeight="1">
      <c r="A997" s="11" t="s">
        <v>1311</v>
      </c>
      <c r="B997" s="11" t="s">
        <v>1312</v>
      </c>
      <c r="C997" s="14">
        <v>5</v>
      </c>
    </row>
    <row r="998" spans="1:4">
      <c r="A998" s="11" t="s">
        <v>1313</v>
      </c>
      <c r="B998" s="11" t="s">
        <v>1314</v>
      </c>
      <c r="C998" s="14">
        <v>5</v>
      </c>
    </row>
    <row r="999" spans="1:4">
      <c r="A999" s="11" t="s">
        <v>1315</v>
      </c>
      <c r="B999" s="11" t="s">
        <v>1316</v>
      </c>
      <c r="C999" s="14">
        <v>5</v>
      </c>
    </row>
    <row r="1000" spans="1:4">
      <c r="A1000" s="15" t="s">
        <v>2078</v>
      </c>
      <c r="B1000" s="15" t="s">
        <v>1319</v>
      </c>
      <c r="C1000" s="14">
        <v>5</v>
      </c>
    </row>
    <row r="1001" spans="1:4">
      <c r="A1001" s="11" t="s">
        <v>1317</v>
      </c>
      <c r="B1001" s="11" t="s">
        <v>1318</v>
      </c>
      <c r="C1001" s="14">
        <v>5</v>
      </c>
    </row>
    <row r="1002" spans="1:4" s="15" customFormat="1">
      <c r="A1002" s="15" t="s">
        <v>2079</v>
      </c>
      <c r="B1002" s="25" t="s">
        <v>2385</v>
      </c>
      <c r="C1002" s="14">
        <v>5</v>
      </c>
    </row>
    <row r="1003" spans="1:4">
      <c r="A1003" s="11" t="s">
        <v>1320</v>
      </c>
      <c r="B1003" s="11" t="s">
        <v>1321</v>
      </c>
      <c r="C1003" s="14">
        <v>5</v>
      </c>
    </row>
    <row r="1004" spans="1:4" s="15" customFormat="1">
      <c r="A1004" s="11" t="s">
        <v>1322</v>
      </c>
      <c r="B1004" s="11" t="s">
        <v>1323</v>
      </c>
      <c r="C1004" s="14">
        <v>5</v>
      </c>
      <c r="D1004" s="11"/>
    </row>
    <row r="1005" spans="1:4">
      <c r="A1005" s="11" t="s">
        <v>1324</v>
      </c>
      <c r="B1005" s="11" t="s">
        <v>1325</v>
      </c>
      <c r="C1005" s="14">
        <v>5</v>
      </c>
    </row>
    <row r="1006" spans="1:4">
      <c r="A1006" s="11" t="s">
        <v>1326</v>
      </c>
      <c r="B1006" s="11" t="s">
        <v>1327</v>
      </c>
      <c r="C1006" s="14">
        <v>5</v>
      </c>
    </row>
    <row r="1007" spans="1:4">
      <c r="A1007" s="11" t="s">
        <v>1328</v>
      </c>
      <c r="B1007" s="11" t="s">
        <v>1329</v>
      </c>
      <c r="C1007" s="14">
        <v>5</v>
      </c>
    </row>
    <row r="1008" spans="1:4">
      <c r="A1008" s="11" t="s">
        <v>1330</v>
      </c>
      <c r="B1008" s="11" t="s">
        <v>1331</v>
      </c>
      <c r="C1008" s="14">
        <v>5</v>
      </c>
    </row>
    <row r="1009" spans="1:3">
      <c r="A1009" s="11" t="s">
        <v>1332</v>
      </c>
      <c r="B1009" s="11" t="s">
        <v>1333</v>
      </c>
      <c r="C1009" s="14">
        <v>5</v>
      </c>
    </row>
    <row r="1010" spans="1:3">
      <c r="A1010" s="11" t="s">
        <v>1334</v>
      </c>
      <c r="B1010" s="11" t="s">
        <v>1335</v>
      </c>
      <c r="C1010" s="14">
        <v>5</v>
      </c>
    </row>
    <row r="1011" spans="1:3">
      <c r="A1011" s="11" t="s">
        <v>2080</v>
      </c>
      <c r="B1011" s="11" t="s">
        <v>2386</v>
      </c>
      <c r="C1011" s="14">
        <v>5</v>
      </c>
    </row>
    <row r="1012" spans="1:3">
      <c r="A1012" s="11" t="s">
        <v>1336</v>
      </c>
      <c r="B1012" s="11" t="s">
        <v>1337</v>
      </c>
      <c r="C1012" s="14">
        <v>5</v>
      </c>
    </row>
    <row r="1013" spans="1:3">
      <c r="A1013" s="11" t="s">
        <v>1338</v>
      </c>
      <c r="B1013" s="11" t="s">
        <v>1339</v>
      </c>
      <c r="C1013" s="14">
        <v>5</v>
      </c>
    </row>
    <row r="1014" spans="1:3">
      <c r="A1014" s="11" t="s">
        <v>2081</v>
      </c>
      <c r="B1014" s="11" t="s">
        <v>2387</v>
      </c>
      <c r="C1014" s="14">
        <v>5</v>
      </c>
    </row>
    <row r="1015" spans="1:3">
      <c r="A1015" s="11" t="s">
        <v>1340</v>
      </c>
      <c r="B1015" s="11" t="s">
        <v>1341</v>
      </c>
      <c r="C1015" s="14">
        <v>5</v>
      </c>
    </row>
    <row r="1016" spans="1:3">
      <c r="A1016" s="11" t="s">
        <v>1342</v>
      </c>
      <c r="B1016" s="11" t="s">
        <v>1343</v>
      </c>
      <c r="C1016" s="14">
        <v>5</v>
      </c>
    </row>
    <row r="1017" spans="1:3">
      <c r="A1017" s="11" t="s">
        <v>1344</v>
      </c>
      <c r="B1017" s="11" t="s">
        <v>1345</v>
      </c>
      <c r="C1017" s="14">
        <v>5</v>
      </c>
    </row>
    <row r="1018" spans="1:3">
      <c r="A1018" s="11" t="s">
        <v>2082</v>
      </c>
      <c r="B1018" s="25" t="s">
        <v>2084</v>
      </c>
      <c r="C1018" s="14">
        <v>5</v>
      </c>
    </row>
    <row r="1019" spans="1:3">
      <c r="A1019" s="11" t="s">
        <v>2083</v>
      </c>
      <c r="B1019" s="11" t="s">
        <v>2388</v>
      </c>
      <c r="C1019" s="14">
        <v>5</v>
      </c>
    </row>
    <row r="1020" spans="1:3">
      <c r="A1020" s="11" t="s">
        <v>1346</v>
      </c>
      <c r="B1020" s="11" t="s">
        <v>1347</v>
      </c>
      <c r="C1020" s="14">
        <v>5</v>
      </c>
    </row>
    <row r="1021" spans="1:3">
      <c r="A1021" s="11" t="s">
        <v>1348</v>
      </c>
      <c r="B1021" s="11" t="s">
        <v>1349</v>
      </c>
      <c r="C1021" s="14">
        <v>5</v>
      </c>
    </row>
    <row r="1022" spans="1:3">
      <c r="A1022" s="11" t="s">
        <v>1350</v>
      </c>
      <c r="B1022" s="11" t="s">
        <v>1351</v>
      </c>
      <c r="C1022" s="14">
        <v>5</v>
      </c>
    </row>
    <row r="1023" spans="1:3">
      <c r="A1023" s="11" t="s">
        <v>1352</v>
      </c>
      <c r="B1023" s="11" t="s">
        <v>1353</v>
      </c>
      <c r="C1023" s="14">
        <v>5</v>
      </c>
    </row>
    <row r="1024" spans="1:3">
      <c r="A1024" s="11" t="s">
        <v>1354</v>
      </c>
      <c r="B1024" s="11" t="s">
        <v>1355</v>
      </c>
      <c r="C1024" s="14">
        <v>5</v>
      </c>
    </row>
    <row r="1025" spans="1:3">
      <c r="A1025" s="11" t="s">
        <v>2085</v>
      </c>
      <c r="B1025" s="25" t="s">
        <v>2087</v>
      </c>
      <c r="C1025" s="14">
        <v>5</v>
      </c>
    </row>
    <row r="1026" spans="1:3">
      <c r="A1026" s="11" t="s">
        <v>2086</v>
      </c>
      <c r="B1026" s="11" t="s">
        <v>2389</v>
      </c>
      <c r="C1026" s="14">
        <v>5</v>
      </c>
    </row>
    <row r="1027" spans="1:3">
      <c r="A1027" s="11" t="s">
        <v>1356</v>
      </c>
      <c r="B1027" s="11" t="s">
        <v>1357</v>
      </c>
      <c r="C1027" s="14">
        <v>5</v>
      </c>
    </row>
    <row r="1028" spans="1:3">
      <c r="A1028" s="11" t="s">
        <v>1358</v>
      </c>
      <c r="B1028" s="11" t="s">
        <v>1359</v>
      </c>
      <c r="C1028" s="14">
        <v>5</v>
      </c>
    </row>
    <row r="1029" spans="1:3">
      <c r="A1029" s="11" t="s">
        <v>1360</v>
      </c>
      <c r="B1029" s="11" t="s">
        <v>1361</v>
      </c>
      <c r="C1029" s="14">
        <v>5</v>
      </c>
    </row>
    <row r="1030" spans="1:3">
      <c r="A1030" s="11" t="s">
        <v>1362</v>
      </c>
      <c r="B1030" s="11" t="s">
        <v>1363</v>
      </c>
      <c r="C1030" s="14">
        <v>5</v>
      </c>
    </row>
    <row r="1031" spans="1:3">
      <c r="A1031" s="11" t="s">
        <v>1364</v>
      </c>
      <c r="B1031" s="11" t="s">
        <v>1365</v>
      </c>
      <c r="C1031" s="14">
        <v>5</v>
      </c>
    </row>
    <row r="1032" spans="1:3">
      <c r="A1032" s="11" t="s">
        <v>2088</v>
      </c>
      <c r="B1032" s="25" t="s">
        <v>2093</v>
      </c>
      <c r="C1032" s="14">
        <v>5</v>
      </c>
    </row>
    <row r="1033" spans="1:3">
      <c r="A1033" s="11" t="s">
        <v>2089</v>
      </c>
      <c r="B1033" s="11" t="s">
        <v>2390</v>
      </c>
      <c r="C1033" s="14">
        <v>5</v>
      </c>
    </row>
    <row r="1034" spans="1:3">
      <c r="A1034" s="11" t="s">
        <v>1366</v>
      </c>
      <c r="B1034" s="11" t="s">
        <v>1367</v>
      </c>
      <c r="C1034" s="14">
        <v>5</v>
      </c>
    </row>
    <row r="1035" spans="1:3">
      <c r="A1035" s="11" t="s">
        <v>1368</v>
      </c>
      <c r="B1035" s="11" t="s">
        <v>1369</v>
      </c>
      <c r="C1035" s="14">
        <v>5</v>
      </c>
    </row>
    <row r="1036" spans="1:3">
      <c r="A1036" s="11" t="s">
        <v>1370</v>
      </c>
      <c r="B1036" s="11" t="s">
        <v>1371</v>
      </c>
      <c r="C1036" s="14">
        <v>5</v>
      </c>
    </row>
    <row r="1037" spans="1:3">
      <c r="A1037" s="11" t="s">
        <v>1372</v>
      </c>
      <c r="B1037" s="11" t="s">
        <v>1373</v>
      </c>
      <c r="C1037" s="14">
        <v>5</v>
      </c>
    </row>
    <row r="1038" spans="1:3">
      <c r="A1038" s="11" t="s">
        <v>2090</v>
      </c>
      <c r="B1038" s="11" t="s">
        <v>2391</v>
      </c>
      <c r="C1038" s="14">
        <v>5</v>
      </c>
    </row>
    <row r="1039" spans="1:3">
      <c r="A1039" s="11" t="s">
        <v>1374</v>
      </c>
      <c r="B1039" s="11" t="s">
        <v>1375</v>
      </c>
      <c r="C1039" s="14">
        <v>5</v>
      </c>
    </row>
    <row r="1040" spans="1:3">
      <c r="A1040" s="11" t="s">
        <v>1376</v>
      </c>
      <c r="B1040" s="11" t="s">
        <v>1377</v>
      </c>
      <c r="C1040" s="14">
        <v>5</v>
      </c>
    </row>
    <row r="1041" spans="1:3">
      <c r="A1041" s="11" t="s">
        <v>2091</v>
      </c>
      <c r="B1041" s="11" t="s">
        <v>2392</v>
      </c>
      <c r="C1041" s="14">
        <v>5</v>
      </c>
    </row>
    <row r="1042" spans="1:3">
      <c r="A1042" s="11" t="s">
        <v>1378</v>
      </c>
      <c r="B1042" s="11" t="s">
        <v>1379</v>
      </c>
      <c r="C1042" s="14">
        <v>5</v>
      </c>
    </row>
    <row r="1043" spans="1:3">
      <c r="A1043" s="11" t="s">
        <v>1380</v>
      </c>
      <c r="B1043" s="11" t="s">
        <v>1381</v>
      </c>
      <c r="C1043" s="14">
        <v>5</v>
      </c>
    </row>
    <row r="1044" spans="1:3">
      <c r="A1044" s="11" t="s">
        <v>1382</v>
      </c>
      <c r="B1044" s="11" t="s">
        <v>1383</v>
      </c>
      <c r="C1044" s="14">
        <v>5</v>
      </c>
    </row>
    <row r="1045" spans="1:3">
      <c r="A1045" s="11" t="s">
        <v>1384</v>
      </c>
      <c r="B1045" s="11" t="s">
        <v>1385</v>
      </c>
      <c r="C1045" s="14">
        <v>5</v>
      </c>
    </row>
    <row r="1046" spans="1:3">
      <c r="A1046" s="11" t="s">
        <v>2092</v>
      </c>
      <c r="B1046" s="25" t="s">
        <v>2094</v>
      </c>
      <c r="C1046" s="14">
        <v>5</v>
      </c>
    </row>
    <row r="1047" spans="1:3">
      <c r="A1047" s="11" t="s">
        <v>1386</v>
      </c>
      <c r="B1047" s="11" t="s">
        <v>1387</v>
      </c>
      <c r="C1047" s="14">
        <v>5</v>
      </c>
    </row>
    <row r="1048" spans="1:3">
      <c r="A1048" s="11" t="s">
        <v>1388</v>
      </c>
      <c r="B1048" s="11" t="s">
        <v>1389</v>
      </c>
      <c r="C1048" s="14">
        <v>5</v>
      </c>
    </row>
    <row r="1049" spans="1:3">
      <c r="A1049" s="11" t="str">
        <f>"09.2"</f>
        <v>09.2</v>
      </c>
      <c r="B1049" s="25" t="s">
        <v>2096</v>
      </c>
      <c r="C1049" s="14">
        <v>5</v>
      </c>
    </row>
    <row r="1050" spans="1:3">
      <c r="A1050" s="11" t="s">
        <v>2095</v>
      </c>
      <c r="B1050" s="11" t="s">
        <v>2393</v>
      </c>
      <c r="C1050" s="14">
        <v>5</v>
      </c>
    </row>
    <row r="1051" spans="1:3">
      <c r="A1051" s="11" t="s">
        <v>1390</v>
      </c>
      <c r="B1051" s="11" t="s">
        <v>1391</v>
      </c>
      <c r="C1051" s="14">
        <v>5</v>
      </c>
    </row>
    <row r="1052" spans="1:3">
      <c r="A1052" s="11" t="s">
        <v>1392</v>
      </c>
      <c r="B1052" s="11" t="s">
        <v>1393</v>
      </c>
      <c r="C1052" s="14">
        <v>5</v>
      </c>
    </row>
    <row r="1053" spans="1:3">
      <c r="A1053" s="11" t="s">
        <v>1394</v>
      </c>
      <c r="B1053" s="11" t="s">
        <v>1395</v>
      </c>
      <c r="C1053" s="14">
        <v>5</v>
      </c>
    </row>
    <row r="1054" spans="1:3">
      <c r="A1054" s="11" t="s">
        <v>1396</v>
      </c>
      <c r="B1054" s="11" t="s">
        <v>1397</v>
      </c>
      <c r="C1054" s="14">
        <v>5</v>
      </c>
    </row>
    <row r="1055" spans="1:3">
      <c r="A1055" s="11" t="s">
        <v>2394</v>
      </c>
      <c r="B1055" s="11" t="s">
        <v>2395</v>
      </c>
      <c r="C1055" s="14">
        <v>5</v>
      </c>
    </row>
    <row r="1056" spans="1:3">
      <c r="A1056" s="11" t="s">
        <v>1398</v>
      </c>
      <c r="B1056" s="11" t="s">
        <v>1399</v>
      </c>
      <c r="C1056" s="14">
        <v>5</v>
      </c>
    </row>
    <row r="1057" spans="1:4">
      <c r="A1057" s="11" t="s">
        <v>1400</v>
      </c>
      <c r="B1057" s="11" t="s">
        <v>1401</v>
      </c>
      <c r="C1057" s="14">
        <v>5</v>
      </c>
    </row>
    <row r="1058" spans="1:4">
      <c r="A1058" s="11" t="s">
        <v>2396</v>
      </c>
      <c r="B1058" s="11" t="s">
        <v>2397</v>
      </c>
      <c r="C1058" s="14">
        <v>5</v>
      </c>
    </row>
    <row r="1059" spans="1:4">
      <c r="A1059" s="11" t="s">
        <v>1402</v>
      </c>
      <c r="B1059" s="11" t="s">
        <v>1403</v>
      </c>
      <c r="C1059" s="14">
        <v>5</v>
      </c>
    </row>
    <row r="1060" spans="1:4">
      <c r="A1060" s="11" t="s">
        <v>1404</v>
      </c>
      <c r="B1060" s="11" t="s">
        <v>1405</v>
      </c>
      <c r="C1060" s="14">
        <v>5</v>
      </c>
    </row>
    <row r="1061" spans="1:4">
      <c r="A1061" s="11" t="s">
        <v>1406</v>
      </c>
      <c r="B1061" s="11" t="s">
        <v>1407</v>
      </c>
      <c r="C1061" s="14">
        <v>5</v>
      </c>
    </row>
    <row r="1062" spans="1:4">
      <c r="A1062" s="11" t="str">
        <f>"09.3"</f>
        <v>09.3</v>
      </c>
      <c r="B1062" s="11" t="s">
        <v>2400</v>
      </c>
      <c r="C1062" s="14">
        <v>5</v>
      </c>
    </row>
    <row r="1063" spans="1:4">
      <c r="A1063" s="11" t="s">
        <v>2398</v>
      </c>
      <c r="B1063" s="11" t="s">
        <v>2401</v>
      </c>
      <c r="C1063" s="14">
        <v>5</v>
      </c>
    </row>
    <row r="1064" spans="1:4">
      <c r="A1064" s="11" t="s">
        <v>2399</v>
      </c>
      <c r="B1064" s="11" t="s">
        <v>2402</v>
      </c>
      <c r="C1064" s="14">
        <v>5</v>
      </c>
    </row>
    <row r="1065" spans="1:4">
      <c r="A1065" s="11" t="s">
        <v>1408</v>
      </c>
      <c r="B1065" s="11" t="s">
        <v>1409</v>
      </c>
      <c r="C1065" s="14">
        <v>5</v>
      </c>
    </row>
    <row r="1066" spans="1:4">
      <c r="A1066" s="11" t="s">
        <v>1410</v>
      </c>
      <c r="B1066" s="11" t="s">
        <v>1411</v>
      </c>
      <c r="C1066" s="14">
        <v>5</v>
      </c>
    </row>
    <row r="1067" spans="1:4">
      <c r="A1067" s="11" t="s">
        <v>1412</v>
      </c>
      <c r="B1067" s="11" t="s">
        <v>1413</v>
      </c>
      <c r="C1067" s="14">
        <v>5</v>
      </c>
    </row>
    <row r="1068" spans="1:4">
      <c r="A1068" s="11" t="s">
        <v>1414</v>
      </c>
      <c r="B1068" s="11" t="s">
        <v>1415</v>
      </c>
      <c r="C1068" s="14">
        <v>5</v>
      </c>
    </row>
    <row r="1069" spans="1:4">
      <c r="A1069" s="11" t="s">
        <v>2403</v>
      </c>
      <c r="B1069" s="15" t="s">
        <v>2404</v>
      </c>
      <c r="C1069" s="14">
        <v>5</v>
      </c>
      <c r="D1069" s="11" t="s">
        <v>2976</v>
      </c>
    </row>
    <row r="1070" spans="1:4">
      <c r="A1070" s="11" t="s">
        <v>1416</v>
      </c>
      <c r="B1070" s="11" t="s">
        <v>1417</v>
      </c>
      <c r="C1070" s="14">
        <v>5</v>
      </c>
    </row>
    <row r="1071" spans="1:4">
      <c r="A1071" s="11" t="s">
        <v>1418</v>
      </c>
      <c r="B1071" s="11" t="s">
        <v>1419</v>
      </c>
      <c r="C1071" s="14">
        <v>5</v>
      </c>
    </row>
    <row r="1072" spans="1:4">
      <c r="A1072" s="11" t="s">
        <v>1420</v>
      </c>
      <c r="B1072" s="11" t="s">
        <v>1421</v>
      </c>
      <c r="C1072" s="14">
        <v>5</v>
      </c>
    </row>
    <row r="1073" spans="1:6">
      <c r="A1073" s="11" t="s">
        <v>1422</v>
      </c>
      <c r="B1073" s="11" t="s">
        <v>1423</v>
      </c>
      <c r="C1073" s="14">
        <v>5</v>
      </c>
    </row>
    <row r="1074" spans="1:6">
      <c r="A1074" s="11" t="s">
        <v>1424</v>
      </c>
      <c r="B1074" s="11" t="s">
        <v>1425</v>
      </c>
      <c r="C1074" s="14">
        <v>5</v>
      </c>
    </row>
    <row r="1075" spans="1:6">
      <c r="A1075" s="11" t="s">
        <v>1426</v>
      </c>
      <c r="B1075" s="11" t="s">
        <v>1427</v>
      </c>
      <c r="C1075" s="14">
        <v>5</v>
      </c>
    </row>
    <row r="1076" spans="1:6">
      <c r="A1076" s="4" t="s">
        <v>1428</v>
      </c>
      <c r="B1076" s="4" t="s">
        <v>2902</v>
      </c>
      <c r="C1076" s="17">
        <v>5</v>
      </c>
      <c r="D1076" s="29">
        <v>42292</v>
      </c>
      <c r="E1076" s="19" t="s">
        <v>1428</v>
      </c>
      <c r="F1076" s="19" t="s">
        <v>1429</v>
      </c>
    </row>
    <row r="1077" spans="1:6">
      <c r="A1077" s="11" t="s">
        <v>1430</v>
      </c>
      <c r="B1077" s="11" t="s">
        <v>1431</v>
      </c>
      <c r="C1077" s="14">
        <v>5</v>
      </c>
    </row>
    <row r="1078" spans="1:6">
      <c r="A1078" s="11" t="s">
        <v>2405</v>
      </c>
      <c r="B1078" s="11" t="s">
        <v>2406</v>
      </c>
      <c r="C1078" s="14">
        <v>5</v>
      </c>
    </row>
    <row r="1079" spans="1:6">
      <c r="A1079" s="11" t="s">
        <v>1432</v>
      </c>
      <c r="B1079" s="11" t="s">
        <v>1433</v>
      </c>
      <c r="C1079" s="14">
        <v>5</v>
      </c>
    </row>
    <row r="1080" spans="1:6">
      <c r="A1080" s="11" t="s">
        <v>1434</v>
      </c>
      <c r="B1080" s="11" t="s">
        <v>1435</v>
      </c>
      <c r="C1080" s="14">
        <v>5</v>
      </c>
    </row>
    <row r="1081" spans="1:6">
      <c r="A1081" s="11" t="s">
        <v>1436</v>
      </c>
      <c r="B1081" s="11" t="s">
        <v>1437</v>
      </c>
      <c r="C1081" s="14">
        <v>5</v>
      </c>
    </row>
    <row r="1082" spans="1:6">
      <c r="A1082" s="11" t="s">
        <v>2407</v>
      </c>
      <c r="B1082" s="11" t="s">
        <v>2409</v>
      </c>
      <c r="C1082" s="14">
        <v>5</v>
      </c>
    </row>
    <row r="1083" spans="1:6">
      <c r="A1083" s="11" t="s">
        <v>2408</v>
      </c>
      <c r="B1083" s="11" t="s">
        <v>2410</v>
      </c>
      <c r="C1083" s="14">
        <v>5</v>
      </c>
    </row>
    <row r="1084" spans="1:6">
      <c r="A1084" s="11" t="s">
        <v>1438</v>
      </c>
      <c r="B1084" s="11" t="s">
        <v>1439</v>
      </c>
      <c r="C1084" s="14">
        <v>5</v>
      </c>
    </row>
    <row r="1085" spans="1:6">
      <c r="A1085" s="11" t="s">
        <v>1440</v>
      </c>
      <c r="B1085" s="11" t="s">
        <v>1441</v>
      </c>
      <c r="C1085" s="14">
        <v>5</v>
      </c>
    </row>
    <row r="1086" spans="1:6">
      <c r="A1086" s="11" t="s">
        <v>1442</v>
      </c>
      <c r="B1086" s="11" t="s">
        <v>1443</v>
      </c>
      <c r="C1086" s="14">
        <v>5</v>
      </c>
    </row>
    <row r="1087" spans="1:6">
      <c r="A1087" s="11" t="s">
        <v>1444</v>
      </c>
      <c r="B1087" s="11" t="s">
        <v>1445</v>
      </c>
      <c r="C1087" s="14">
        <v>5</v>
      </c>
    </row>
    <row r="1088" spans="1:6">
      <c r="A1088" s="11" t="s">
        <v>1446</v>
      </c>
      <c r="B1088" s="11" t="s">
        <v>1447</v>
      </c>
      <c r="C1088" s="14">
        <v>5</v>
      </c>
    </row>
    <row r="1089" spans="1:3">
      <c r="A1089" s="11" t="s">
        <v>2411</v>
      </c>
      <c r="B1089" s="11" t="s">
        <v>2412</v>
      </c>
      <c r="C1089" s="14">
        <v>5</v>
      </c>
    </row>
    <row r="1090" spans="1:3">
      <c r="A1090" s="11" t="s">
        <v>1448</v>
      </c>
      <c r="B1090" s="11" t="s">
        <v>1449</v>
      </c>
      <c r="C1090" s="14">
        <v>5</v>
      </c>
    </row>
    <row r="1091" spans="1:3">
      <c r="A1091" s="11" t="s">
        <v>1450</v>
      </c>
      <c r="B1091" s="11" t="s">
        <v>1451</v>
      </c>
      <c r="C1091" s="14">
        <v>5</v>
      </c>
    </row>
    <row r="1092" spans="1:3">
      <c r="A1092" s="11" t="s">
        <v>1452</v>
      </c>
      <c r="B1092" s="11" t="s">
        <v>1453</v>
      </c>
      <c r="C1092" s="14">
        <v>5</v>
      </c>
    </row>
    <row r="1093" spans="1:3">
      <c r="A1093" s="11" t="s">
        <v>1454</v>
      </c>
      <c r="B1093" s="11" t="s">
        <v>1455</v>
      </c>
      <c r="C1093" s="14">
        <v>5</v>
      </c>
    </row>
    <row r="1094" spans="1:3">
      <c r="A1094" s="11" t="s">
        <v>1456</v>
      </c>
      <c r="B1094" s="11" t="s">
        <v>1457</v>
      </c>
      <c r="C1094" s="14">
        <v>5</v>
      </c>
    </row>
    <row r="1095" spans="1:3">
      <c r="A1095" s="11" t="s">
        <v>2413</v>
      </c>
      <c r="B1095" s="11" t="s">
        <v>2414</v>
      </c>
      <c r="C1095" s="14">
        <v>5</v>
      </c>
    </row>
    <row r="1096" spans="1:3">
      <c r="A1096" s="11" t="s">
        <v>1458</v>
      </c>
      <c r="B1096" s="11" t="s">
        <v>1459</v>
      </c>
      <c r="C1096" s="14">
        <v>5</v>
      </c>
    </row>
    <row r="1097" spans="1:3">
      <c r="A1097" s="11" t="s">
        <v>2415</v>
      </c>
      <c r="B1097" s="11" t="s">
        <v>2416</v>
      </c>
      <c r="C1097" s="14">
        <v>5</v>
      </c>
    </row>
    <row r="1098" spans="1:3">
      <c r="A1098" s="11" t="s">
        <v>1460</v>
      </c>
      <c r="B1098" s="11" t="s">
        <v>1461</v>
      </c>
      <c r="C1098" s="14">
        <v>5</v>
      </c>
    </row>
    <row r="1099" spans="1:3">
      <c r="A1099" s="11" t="s">
        <v>1462</v>
      </c>
      <c r="B1099" s="11" t="s">
        <v>1463</v>
      </c>
      <c r="C1099" s="14">
        <v>5</v>
      </c>
    </row>
    <row r="1100" spans="1:3">
      <c r="A1100" s="11" t="s">
        <v>1464</v>
      </c>
      <c r="B1100" s="11" t="s">
        <v>1465</v>
      </c>
      <c r="C1100" s="14">
        <v>5</v>
      </c>
    </row>
    <row r="1101" spans="1:3">
      <c r="A1101" s="11" t="str">
        <f>"09.4"</f>
        <v>09.4</v>
      </c>
      <c r="B1101" s="11" t="s">
        <v>2418</v>
      </c>
      <c r="C1101" s="14">
        <v>5</v>
      </c>
    </row>
    <row r="1102" spans="1:3">
      <c r="A1102" s="11" t="s">
        <v>2417</v>
      </c>
      <c r="B1102" s="11" t="s">
        <v>2419</v>
      </c>
      <c r="C1102" s="14">
        <v>5</v>
      </c>
    </row>
    <row r="1103" spans="1:3">
      <c r="A1103" s="11" t="s">
        <v>1466</v>
      </c>
      <c r="B1103" s="11" t="s">
        <v>1467</v>
      </c>
      <c r="C1103" s="14">
        <v>5</v>
      </c>
    </row>
    <row r="1104" spans="1:3">
      <c r="A1104" s="11" t="s">
        <v>2420</v>
      </c>
      <c r="B1104" s="11" t="s">
        <v>2421</v>
      </c>
      <c r="C1104" s="14">
        <v>5</v>
      </c>
    </row>
    <row r="1105" spans="1:3">
      <c r="A1105" s="11" t="s">
        <v>1468</v>
      </c>
      <c r="B1105" s="11" t="s">
        <v>1469</v>
      </c>
      <c r="C1105" s="14">
        <v>5</v>
      </c>
    </row>
    <row r="1106" spans="1:3">
      <c r="A1106" s="11" t="s">
        <v>1470</v>
      </c>
      <c r="B1106" s="11" t="s">
        <v>1471</v>
      </c>
      <c r="C1106" s="14">
        <v>5</v>
      </c>
    </row>
    <row r="1107" spans="1:3">
      <c r="A1107" s="11" t="s">
        <v>1472</v>
      </c>
      <c r="B1107" s="11" t="s">
        <v>1473</v>
      </c>
      <c r="C1107" s="14">
        <v>5</v>
      </c>
    </row>
    <row r="1108" spans="1:3">
      <c r="A1108" s="11" t="s">
        <v>2422</v>
      </c>
      <c r="B1108" s="11" t="s">
        <v>2424</v>
      </c>
      <c r="C1108" s="14">
        <v>5</v>
      </c>
    </row>
    <row r="1109" spans="1:3">
      <c r="A1109" s="11" t="s">
        <v>2423</v>
      </c>
      <c r="B1109" s="11" t="s">
        <v>2425</v>
      </c>
      <c r="C1109" s="14">
        <v>5</v>
      </c>
    </row>
    <row r="1110" spans="1:3">
      <c r="A1110" s="11" t="s">
        <v>1474</v>
      </c>
      <c r="B1110" s="11" t="s">
        <v>1475</v>
      </c>
      <c r="C1110" s="14">
        <v>5</v>
      </c>
    </row>
    <row r="1111" spans="1:3">
      <c r="A1111" s="11" t="s">
        <v>1476</v>
      </c>
      <c r="B1111" s="11" t="s">
        <v>1477</v>
      </c>
      <c r="C1111" s="14">
        <v>5</v>
      </c>
    </row>
    <row r="1112" spans="1:3">
      <c r="A1112" s="11" t="s">
        <v>1478</v>
      </c>
      <c r="B1112" s="11" t="s">
        <v>1479</v>
      </c>
      <c r="C1112" s="14">
        <v>5</v>
      </c>
    </row>
    <row r="1113" spans="1:3">
      <c r="A1113" s="11" t="s">
        <v>1480</v>
      </c>
      <c r="B1113" s="11" t="s">
        <v>1481</v>
      </c>
      <c r="C1113" s="14">
        <v>5</v>
      </c>
    </row>
    <row r="1114" spans="1:3">
      <c r="A1114" s="11" t="s">
        <v>2426</v>
      </c>
      <c r="B1114" s="11" t="s">
        <v>2427</v>
      </c>
      <c r="C1114" s="14">
        <v>5</v>
      </c>
    </row>
    <row r="1115" spans="1:3">
      <c r="A1115" s="11" t="s">
        <v>1482</v>
      </c>
      <c r="B1115" s="11" t="s">
        <v>1483</v>
      </c>
      <c r="C1115" s="14">
        <v>5</v>
      </c>
    </row>
    <row r="1116" spans="1:3">
      <c r="A1116" s="11" t="s">
        <v>1484</v>
      </c>
      <c r="B1116" s="11" t="s">
        <v>1485</v>
      </c>
      <c r="C1116" s="14">
        <v>5</v>
      </c>
    </row>
    <row r="1117" spans="1:3">
      <c r="A1117" s="11" t="s">
        <v>1486</v>
      </c>
      <c r="B1117" s="11" t="s">
        <v>1487</v>
      </c>
      <c r="C1117" s="14">
        <v>5</v>
      </c>
    </row>
    <row r="1118" spans="1:3">
      <c r="A1118" s="11" t="s">
        <v>1488</v>
      </c>
      <c r="B1118" s="11" t="s">
        <v>1489</v>
      </c>
      <c r="C1118" s="14">
        <v>5</v>
      </c>
    </row>
    <row r="1119" spans="1:3">
      <c r="A1119" s="11" t="s">
        <v>2428</v>
      </c>
      <c r="B1119" s="11" t="s">
        <v>2429</v>
      </c>
      <c r="C1119" s="14">
        <v>5</v>
      </c>
    </row>
    <row r="1120" spans="1:3">
      <c r="A1120" s="15" t="s">
        <v>2430</v>
      </c>
      <c r="B1120" s="15" t="s">
        <v>2620</v>
      </c>
      <c r="C1120" s="14">
        <v>5</v>
      </c>
    </row>
    <row r="1121" spans="1:3">
      <c r="A1121" s="11" t="s">
        <v>1490</v>
      </c>
      <c r="B1121" s="11" t="s">
        <v>1491</v>
      </c>
      <c r="C1121" s="14">
        <v>5</v>
      </c>
    </row>
    <row r="1122" spans="1:3">
      <c r="A1122" s="11" t="s">
        <v>1492</v>
      </c>
      <c r="B1122" s="11" t="s">
        <v>1493</v>
      </c>
      <c r="C1122" s="14">
        <v>5</v>
      </c>
    </row>
    <row r="1123" spans="1:3">
      <c r="A1123" s="11" t="s">
        <v>1494</v>
      </c>
      <c r="B1123" s="11" t="s">
        <v>1495</v>
      </c>
      <c r="C1123" s="14">
        <v>5</v>
      </c>
    </row>
    <row r="1124" spans="1:3">
      <c r="A1124" s="11" t="s">
        <v>2431</v>
      </c>
      <c r="B1124" s="11" t="s">
        <v>2432</v>
      </c>
      <c r="C1124" s="14">
        <v>5</v>
      </c>
    </row>
    <row r="1125" spans="1:3">
      <c r="A1125" s="11" t="s">
        <v>1496</v>
      </c>
      <c r="B1125" s="11" t="s">
        <v>1497</v>
      </c>
      <c r="C1125" s="14">
        <v>5</v>
      </c>
    </row>
    <row r="1126" spans="1:3">
      <c r="A1126" s="11" t="s">
        <v>1498</v>
      </c>
      <c r="B1126" s="11" t="s">
        <v>1499</v>
      </c>
      <c r="C1126" s="14">
        <v>5</v>
      </c>
    </row>
    <row r="1127" spans="1:3">
      <c r="A1127" s="11" t="s">
        <v>1500</v>
      </c>
      <c r="B1127" s="11" t="s">
        <v>1501</v>
      </c>
      <c r="C1127" s="14">
        <v>5</v>
      </c>
    </row>
    <row r="1128" spans="1:3">
      <c r="A1128" s="11" t="s">
        <v>1502</v>
      </c>
      <c r="B1128" s="11" t="s">
        <v>1503</v>
      </c>
      <c r="C1128" s="14">
        <v>5</v>
      </c>
    </row>
    <row r="1129" spans="1:3">
      <c r="A1129" s="11" t="s">
        <v>1504</v>
      </c>
      <c r="B1129" s="11" t="s">
        <v>1505</v>
      </c>
      <c r="C1129" s="14">
        <v>5</v>
      </c>
    </row>
    <row r="1130" spans="1:3">
      <c r="A1130" s="11" t="s">
        <v>2433</v>
      </c>
      <c r="B1130" s="11" t="s">
        <v>2434</v>
      </c>
      <c r="C1130" s="14">
        <v>5</v>
      </c>
    </row>
    <row r="1131" spans="1:3">
      <c r="A1131" s="11" t="s">
        <v>1506</v>
      </c>
      <c r="B1131" s="11" t="s">
        <v>1507</v>
      </c>
      <c r="C1131" s="14">
        <v>5</v>
      </c>
    </row>
    <row r="1132" spans="1:3">
      <c r="A1132" s="11" t="s">
        <v>1508</v>
      </c>
      <c r="B1132" s="11" t="s">
        <v>1509</v>
      </c>
      <c r="C1132" s="14">
        <v>5</v>
      </c>
    </row>
    <row r="1133" spans="1:3">
      <c r="A1133" s="11" t="s">
        <v>1510</v>
      </c>
      <c r="B1133" s="11" t="s">
        <v>1511</v>
      </c>
      <c r="C1133" s="14">
        <v>5</v>
      </c>
    </row>
    <row r="1134" spans="1:3">
      <c r="A1134" s="11" t="s">
        <v>1512</v>
      </c>
      <c r="B1134" s="11" t="s">
        <v>1513</v>
      </c>
      <c r="C1134" s="14">
        <v>5</v>
      </c>
    </row>
    <row r="1135" spans="1:3">
      <c r="A1135" s="11" t="s">
        <v>1514</v>
      </c>
      <c r="B1135" s="11" t="s">
        <v>1515</v>
      </c>
      <c r="C1135" s="14">
        <v>5</v>
      </c>
    </row>
    <row r="1136" spans="1:3">
      <c r="A1136" s="11" t="s">
        <v>1516</v>
      </c>
      <c r="B1136" s="11" t="s">
        <v>1517</v>
      </c>
      <c r="C1136" s="14">
        <v>5</v>
      </c>
    </row>
    <row r="1137" spans="1:3">
      <c r="A1137" s="11" t="s">
        <v>1518</v>
      </c>
      <c r="B1137" s="11" t="s">
        <v>1519</v>
      </c>
      <c r="C1137" s="14">
        <v>5</v>
      </c>
    </row>
    <row r="1138" spans="1:3">
      <c r="A1138" s="11" t="s">
        <v>1520</v>
      </c>
      <c r="B1138" s="11" t="s">
        <v>1521</v>
      </c>
      <c r="C1138" s="14">
        <v>5</v>
      </c>
    </row>
    <row r="1139" spans="1:3">
      <c r="A1139" s="11" t="s">
        <v>1522</v>
      </c>
      <c r="B1139" s="11" t="s">
        <v>1523</v>
      </c>
      <c r="C1139" s="14">
        <v>5</v>
      </c>
    </row>
    <row r="1140" spans="1:3">
      <c r="A1140" s="11" t="str">
        <f>"09.5"</f>
        <v>09.5</v>
      </c>
      <c r="B1140" s="11" t="s">
        <v>2437</v>
      </c>
      <c r="C1140" s="14">
        <v>5</v>
      </c>
    </row>
    <row r="1141" spans="1:3">
      <c r="A1141" s="11" t="s">
        <v>2435</v>
      </c>
      <c r="B1141" s="11" t="s">
        <v>2438</v>
      </c>
      <c r="C1141" s="14">
        <v>5</v>
      </c>
    </row>
    <row r="1142" spans="1:3">
      <c r="A1142" s="11" t="s">
        <v>2436</v>
      </c>
      <c r="B1142" s="11" t="s">
        <v>2439</v>
      </c>
      <c r="C1142" s="14">
        <v>5</v>
      </c>
    </row>
    <row r="1143" spans="1:3">
      <c r="A1143" s="11" t="s">
        <v>1524</v>
      </c>
      <c r="B1143" s="11" t="s">
        <v>1525</v>
      </c>
      <c r="C1143" s="14">
        <v>5</v>
      </c>
    </row>
    <row r="1144" spans="1:3">
      <c r="A1144" s="11" t="s">
        <v>1526</v>
      </c>
      <c r="B1144" s="11" t="s">
        <v>1527</v>
      </c>
      <c r="C1144" s="14">
        <v>5</v>
      </c>
    </row>
    <row r="1145" spans="1:3">
      <c r="A1145" s="11" t="s">
        <v>1528</v>
      </c>
      <c r="B1145" s="11" t="s">
        <v>1529</v>
      </c>
      <c r="C1145" s="14">
        <v>5</v>
      </c>
    </row>
    <row r="1146" spans="1:3">
      <c r="A1146" s="11" t="s">
        <v>1530</v>
      </c>
      <c r="B1146" s="11" t="s">
        <v>1531</v>
      </c>
      <c r="C1146" s="14">
        <v>5</v>
      </c>
    </row>
    <row r="1147" spans="1:3">
      <c r="A1147" s="11" t="s">
        <v>1532</v>
      </c>
      <c r="B1147" s="11" t="s">
        <v>1533</v>
      </c>
      <c r="C1147" s="14">
        <v>5</v>
      </c>
    </row>
    <row r="1148" spans="1:3">
      <c r="A1148" s="11" t="s">
        <v>2440</v>
      </c>
      <c r="B1148" s="11" t="s">
        <v>2441</v>
      </c>
      <c r="C1148" s="14">
        <v>5</v>
      </c>
    </row>
    <row r="1149" spans="1:3">
      <c r="A1149" s="11" t="s">
        <v>1534</v>
      </c>
      <c r="B1149" s="11" t="s">
        <v>1535</v>
      </c>
      <c r="C1149" s="14">
        <v>5</v>
      </c>
    </row>
    <row r="1150" spans="1:3">
      <c r="A1150" s="11" t="s">
        <v>1536</v>
      </c>
      <c r="B1150" s="11" t="s">
        <v>1537</v>
      </c>
      <c r="C1150" s="14">
        <v>5</v>
      </c>
    </row>
    <row r="1151" spans="1:3">
      <c r="A1151" s="11" t="s">
        <v>2442</v>
      </c>
      <c r="B1151" s="11" t="s">
        <v>2443</v>
      </c>
      <c r="C1151" s="14">
        <v>5</v>
      </c>
    </row>
    <row r="1152" spans="1:3">
      <c r="A1152" s="11" t="s">
        <v>1538</v>
      </c>
      <c r="B1152" s="11" t="s">
        <v>1539</v>
      </c>
      <c r="C1152" s="14">
        <v>5</v>
      </c>
    </row>
    <row r="1153" spans="1:4">
      <c r="A1153" s="11" t="s">
        <v>2444</v>
      </c>
      <c r="B1153" s="11" t="s">
        <v>2445</v>
      </c>
      <c r="C1153" s="14">
        <v>5</v>
      </c>
    </row>
    <row r="1154" spans="1:4">
      <c r="A1154" s="11" t="s">
        <v>1540</v>
      </c>
      <c r="B1154" s="11" t="s">
        <v>1541</v>
      </c>
      <c r="C1154" s="14">
        <v>5</v>
      </c>
    </row>
    <row r="1155" spans="1:4">
      <c r="A1155" s="11" t="s">
        <v>1542</v>
      </c>
      <c r="B1155" s="11" t="s">
        <v>1543</v>
      </c>
      <c r="C1155" s="14">
        <v>5</v>
      </c>
    </row>
    <row r="1156" spans="1:4">
      <c r="A1156" s="11" t="s">
        <v>2446</v>
      </c>
      <c r="B1156" s="11" t="s">
        <v>2447</v>
      </c>
      <c r="C1156" s="14">
        <v>5</v>
      </c>
    </row>
    <row r="1157" spans="1:4">
      <c r="A1157" s="11" t="s">
        <v>1544</v>
      </c>
      <c r="B1157" s="11" t="s">
        <v>1545</v>
      </c>
      <c r="C1157" s="14">
        <v>5</v>
      </c>
    </row>
    <row r="1158" spans="1:4">
      <c r="A1158" s="11" t="s">
        <v>1546</v>
      </c>
      <c r="B1158" s="11" t="s">
        <v>1547</v>
      </c>
      <c r="C1158" s="14">
        <v>5</v>
      </c>
    </row>
    <row r="1159" spans="1:4">
      <c r="A1159" s="11" t="s">
        <v>2448</v>
      </c>
      <c r="B1159" s="11" t="s">
        <v>2450</v>
      </c>
      <c r="C1159" s="14">
        <v>5</v>
      </c>
    </row>
    <row r="1160" spans="1:4">
      <c r="A1160" s="11" t="s">
        <v>2449</v>
      </c>
      <c r="B1160" s="11" t="s">
        <v>2451</v>
      </c>
      <c r="C1160" s="14">
        <v>5</v>
      </c>
    </row>
    <row r="1161" spans="1:4">
      <c r="A1161" s="11" t="s">
        <v>1548</v>
      </c>
      <c r="B1161" s="11" t="s">
        <v>1549</v>
      </c>
      <c r="C1161" s="14">
        <v>5</v>
      </c>
    </row>
    <row r="1162" spans="1:4">
      <c r="A1162" s="11" t="s">
        <v>1550</v>
      </c>
      <c r="B1162" s="11" t="s">
        <v>1551</v>
      </c>
      <c r="C1162" s="14">
        <v>5</v>
      </c>
    </row>
    <row r="1163" spans="1:4">
      <c r="A1163" s="11" t="s">
        <v>1552</v>
      </c>
      <c r="B1163" s="11" t="s">
        <v>1553</v>
      </c>
      <c r="C1163" s="14">
        <v>5</v>
      </c>
    </row>
    <row r="1164" spans="1:4">
      <c r="A1164" s="11" t="s">
        <v>1554</v>
      </c>
      <c r="B1164" s="11" t="s">
        <v>1555</v>
      </c>
      <c r="C1164" s="14">
        <v>5</v>
      </c>
    </row>
    <row r="1165" spans="1:4">
      <c r="A1165" s="11" t="s">
        <v>1556</v>
      </c>
      <c r="B1165" s="11" t="s">
        <v>1557</v>
      </c>
      <c r="C1165" s="14">
        <v>5</v>
      </c>
    </row>
    <row r="1166" spans="1:4">
      <c r="A1166" s="11" t="s">
        <v>2452</v>
      </c>
      <c r="B1166" s="11" t="s">
        <v>2453</v>
      </c>
      <c r="C1166" s="14">
        <v>5</v>
      </c>
    </row>
    <row r="1167" spans="1:4">
      <c r="A1167" s="11" t="s">
        <v>1558</v>
      </c>
      <c r="B1167" s="11" t="s">
        <v>1559</v>
      </c>
      <c r="C1167" s="14">
        <v>5</v>
      </c>
    </row>
    <row r="1168" spans="1:4">
      <c r="A1168" s="11" t="s">
        <v>1560</v>
      </c>
      <c r="B1168" s="11" t="s">
        <v>1561</v>
      </c>
      <c r="C1168" s="14">
        <v>5</v>
      </c>
      <c r="D1168" s="15"/>
    </row>
    <row r="1169" spans="1:5">
      <c r="A1169" s="11" t="s">
        <v>1562</v>
      </c>
      <c r="B1169" s="11" t="s">
        <v>1563</v>
      </c>
      <c r="C1169" s="14">
        <v>5</v>
      </c>
    </row>
    <row r="1170" spans="1:5">
      <c r="A1170" s="11" t="s">
        <v>1564</v>
      </c>
      <c r="B1170" s="11" t="s">
        <v>1565</v>
      </c>
      <c r="C1170" s="14">
        <v>5</v>
      </c>
      <c r="D1170" s="15"/>
    </row>
    <row r="1171" spans="1:5">
      <c r="A1171" s="15" t="s">
        <v>1566</v>
      </c>
      <c r="B1171" s="15" t="s">
        <v>1567</v>
      </c>
      <c r="C1171" s="14">
        <v>5</v>
      </c>
    </row>
    <row r="1172" spans="1:5">
      <c r="A1172" s="15" t="s">
        <v>1568</v>
      </c>
      <c r="B1172" s="15" t="s">
        <v>2621</v>
      </c>
      <c r="C1172" s="14">
        <v>5</v>
      </c>
    </row>
    <row r="1173" spans="1:5">
      <c r="A1173" s="15" t="str">
        <f>"09.6"</f>
        <v>09.6</v>
      </c>
      <c r="B1173" s="15" t="s">
        <v>2454</v>
      </c>
      <c r="C1173" s="14">
        <v>5</v>
      </c>
      <c r="D1173" s="15"/>
      <c r="E1173" s="15"/>
    </row>
    <row r="1174" spans="1:5">
      <c r="A1174" s="15" t="s">
        <v>1569</v>
      </c>
      <c r="B1174" s="15" t="s">
        <v>2455</v>
      </c>
      <c r="C1174" s="14">
        <v>5</v>
      </c>
      <c r="D1174" s="15"/>
      <c r="E1174" s="15"/>
    </row>
    <row r="1175" spans="1:5">
      <c r="A1175" s="15" t="s">
        <v>1570</v>
      </c>
      <c r="B1175" s="15" t="s">
        <v>2456</v>
      </c>
      <c r="C1175" s="14">
        <v>5</v>
      </c>
      <c r="D1175" s="15"/>
      <c r="E1175" s="15"/>
    </row>
    <row r="1176" spans="1:5">
      <c r="A1176" s="15" t="str">
        <f>"10"</f>
        <v>10</v>
      </c>
      <c r="B1176" s="15" t="s">
        <v>2457</v>
      </c>
      <c r="C1176" s="14">
        <v>5</v>
      </c>
      <c r="D1176" s="15"/>
      <c r="E1176" s="15"/>
    </row>
    <row r="1177" spans="1:5">
      <c r="A1177" s="15" t="str">
        <f>"10.1"</f>
        <v>10.1</v>
      </c>
      <c r="B1177" s="15" t="s">
        <v>2458</v>
      </c>
      <c r="C1177" s="14">
        <v>5</v>
      </c>
      <c r="D1177" s="15"/>
      <c r="E1177" s="15"/>
    </row>
    <row r="1178" spans="1:5" s="15" customFormat="1">
      <c r="A1178" s="11" t="s">
        <v>1576</v>
      </c>
      <c r="B1178" s="11" t="s">
        <v>1577</v>
      </c>
      <c r="C1178" s="14">
        <v>5</v>
      </c>
    </row>
    <row r="1179" spans="1:5">
      <c r="A1179" s="11" t="s">
        <v>2459</v>
      </c>
      <c r="B1179" s="11" t="s">
        <v>2460</v>
      </c>
      <c r="C1179" s="14">
        <v>5</v>
      </c>
      <c r="D1179" s="15"/>
      <c r="E1179" s="15"/>
    </row>
    <row r="1180" spans="1:5">
      <c r="A1180" s="11" t="s">
        <v>1578</v>
      </c>
      <c r="B1180" s="11" t="s">
        <v>1579</v>
      </c>
      <c r="C1180" s="14">
        <v>5</v>
      </c>
    </row>
    <row r="1181" spans="1:5">
      <c r="A1181" s="11" t="s">
        <v>1580</v>
      </c>
      <c r="B1181" s="11" t="s">
        <v>1581</v>
      </c>
      <c r="C1181" s="14">
        <v>5</v>
      </c>
    </row>
    <row r="1182" spans="1:5">
      <c r="A1182" s="11" t="s">
        <v>1582</v>
      </c>
      <c r="B1182" s="11" t="s">
        <v>1583</v>
      </c>
      <c r="C1182" s="14">
        <v>5</v>
      </c>
    </row>
    <row r="1183" spans="1:5">
      <c r="A1183" s="11" t="str">
        <f>"10.2"</f>
        <v>10.2</v>
      </c>
      <c r="B1183" s="11" t="s">
        <v>2462</v>
      </c>
      <c r="C1183" s="14">
        <v>5</v>
      </c>
    </row>
    <row r="1184" spans="1:5">
      <c r="A1184" s="11" t="s">
        <v>2461</v>
      </c>
      <c r="B1184" s="11" t="s">
        <v>2463</v>
      </c>
      <c r="C1184" s="14">
        <v>5</v>
      </c>
    </row>
    <row r="1185" spans="1:3">
      <c r="A1185" s="11" t="s">
        <v>1584</v>
      </c>
      <c r="B1185" s="11" t="s">
        <v>1585</v>
      </c>
      <c r="C1185" s="14">
        <v>5</v>
      </c>
    </row>
    <row r="1186" spans="1:3">
      <c r="A1186" s="11" t="s">
        <v>1586</v>
      </c>
      <c r="B1186" s="11" t="s">
        <v>1587</v>
      </c>
      <c r="C1186" s="14">
        <v>5</v>
      </c>
    </row>
    <row r="1187" spans="1:3">
      <c r="A1187" s="11" t="s">
        <v>2464</v>
      </c>
      <c r="B1187" s="11" t="s">
        <v>2465</v>
      </c>
      <c r="C1187" s="14">
        <v>5</v>
      </c>
    </row>
    <row r="1188" spans="1:3">
      <c r="A1188" s="11" t="s">
        <v>1588</v>
      </c>
      <c r="B1188" s="11" t="s">
        <v>1589</v>
      </c>
      <c r="C1188" s="14">
        <v>5</v>
      </c>
    </row>
    <row r="1189" spans="1:3">
      <c r="A1189" s="11" t="s">
        <v>1590</v>
      </c>
      <c r="B1189" s="11" t="s">
        <v>1591</v>
      </c>
      <c r="C1189" s="14">
        <v>5</v>
      </c>
    </row>
    <row r="1190" spans="1:3">
      <c r="A1190" s="11" t="s">
        <v>1592</v>
      </c>
      <c r="B1190" s="11" t="s">
        <v>1593</v>
      </c>
      <c r="C1190" s="14">
        <v>5</v>
      </c>
    </row>
    <row r="1191" spans="1:3">
      <c r="A1191" s="11" t="s">
        <v>1594</v>
      </c>
      <c r="B1191" s="11" t="s">
        <v>1595</v>
      </c>
      <c r="C1191" s="14">
        <v>5</v>
      </c>
    </row>
    <row r="1192" spans="1:3">
      <c r="A1192" s="11" t="str">
        <f>"10.3"</f>
        <v>10.3</v>
      </c>
      <c r="B1192" s="11" t="s">
        <v>2466</v>
      </c>
      <c r="C1192" s="14">
        <v>5</v>
      </c>
    </row>
    <row r="1193" spans="1:3">
      <c r="A1193" s="11" t="s">
        <v>1596</v>
      </c>
      <c r="B1193" s="11" t="s">
        <v>1597</v>
      </c>
      <c r="C1193" s="14">
        <v>5</v>
      </c>
    </row>
    <row r="1194" spans="1:3">
      <c r="A1194" s="11" t="s">
        <v>1598</v>
      </c>
      <c r="B1194" s="11" t="s">
        <v>1599</v>
      </c>
      <c r="C1194" s="14">
        <v>5</v>
      </c>
    </row>
    <row r="1195" spans="1:3">
      <c r="A1195" s="11" t="s">
        <v>1600</v>
      </c>
      <c r="B1195" s="11" t="s">
        <v>1601</v>
      </c>
      <c r="C1195" s="14">
        <v>5</v>
      </c>
    </row>
    <row r="1196" spans="1:3">
      <c r="A1196" s="11" t="str">
        <f>"10.4"</f>
        <v>10.4</v>
      </c>
      <c r="B1196" s="11" t="s">
        <v>2468</v>
      </c>
      <c r="C1196" s="14">
        <v>5</v>
      </c>
    </row>
    <row r="1197" spans="1:3">
      <c r="A1197" s="15" t="s">
        <v>2467</v>
      </c>
      <c r="B1197" s="15" t="s">
        <v>2622</v>
      </c>
      <c r="C1197" s="14">
        <v>5</v>
      </c>
    </row>
    <row r="1198" spans="1:3">
      <c r="A1198" s="11" t="s">
        <v>1602</v>
      </c>
      <c r="B1198" s="11" t="s">
        <v>1603</v>
      </c>
      <c r="C1198" s="14">
        <v>5</v>
      </c>
    </row>
    <row r="1199" spans="1:3">
      <c r="A1199" s="11" t="s">
        <v>1604</v>
      </c>
      <c r="B1199" s="11" t="s">
        <v>1605</v>
      </c>
      <c r="C1199" s="14">
        <v>5</v>
      </c>
    </row>
    <row r="1200" spans="1:3">
      <c r="A1200" s="11" t="s">
        <v>1606</v>
      </c>
      <c r="B1200" s="11" t="s">
        <v>1607</v>
      </c>
      <c r="C1200" s="14">
        <v>5</v>
      </c>
    </row>
    <row r="1201" spans="1:5">
      <c r="A1201" s="11" t="s">
        <v>1608</v>
      </c>
      <c r="B1201" s="11" t="s">
        <v>1609</v>
      </c>
      <c r="C1201" s="14">
        <v>5</v>
      </c>
      <c r="D1201" s="13"/>
    </row>
    <row r="1202" spans="1:5">
      <c r="A1202" s="11" t="str">
        <f>"10.5"</f>
        <v>10.5</v>
      </c>
      <c r="B1202" s="11" t="s">
        <v>2470</v>
      </c>
      <c r="C1202" s="14">
        <v>5</v>
      </c>
    </row>
    <row r="1203" spans="1:5">
      <c r="A1203" s="15" t="s">
        <v>2469</v>
      </c>
      <c r="B1203" s="15" t="s">
        <v>2471</v>
      </c>
      <c r="C1203" s="14">
        <v>5</v>
      </c>
    </row>
    <row r="1204" spans="1:5">
      <c r="A1204" s="15" t="s">
        <v>1610</v>
      </c>
      <c r="B1204" s="15" t="s">
        <v>1611</v>
      </c>
      <c r="C1204" s="14">
        <v>5</v>
      </c>
    </row>
    <row r="1205" spans="1:5">
      <c r="A1205" s="15" t="s">
        <v>1612</v>
      </c>
      <c r="B1205" s="15" t="s">
        <v>1613</v>
      </c>
      <c r="C1205" s="14">
        <v>5</v>
      </c>
    </row>
    <row r="1206" spans="1:5">
      <c r="A1206" s="15" t="s">
        <v>1614</v>
      </c>
      <c r="B1206" s="15" t="s">
        <v>2472</v>
      </c>
      <c r="C1206" s="14">
        <v>5</v>
      </c>
      <c r="D1206" s="15"/>
    </row>
    <row r="1207" spans="1:5">
      <c r="A1207" s="11" t="str">
        <f>"11"</f>
        <v>11</v>
      </c>
      <c r="B1207" s="11" t="s">
        <v>2632</v>
      </c>
      <c r="C1207" s="14">
        <v>2</v>
      </c>
    </row>
    <row r="1208" spans="1:5">
      <c r="A1208" s="11" t="str">
        <f>"11"</f>
        <v>11</v>
      </c>
      <c r="B1208" s="11" t="s">
        <v>2632</v>
      </c>
      <c r="C1208" s="14">
        <v>3</v>
      </c>
    </row>
    <row r="1209" spans="1:5">
      <c r="A1209" s="11" t="str">
        <f>"11"</f>
        <v>11</v>
      </c>
      <c r="B1209" s="11" t="s">
        <v>2632</v>
      </c>
      <c r="C1209" s="14">
        <v>5</v>
      </c>
    </row>
    <row r="1210" spans="1:5">
      <c r="A1210" s="11" t="str">
        <f>"11.1"</f>
        <v>11.1</v>
      </c>
      <c r="B1210" s="11" t="s">
        <v>2633</v>
      </c>
      <c r="C1210" s="14">
        <v>2</v>
      </c>
    </row>
    <row r="1211" spans="1:5">
      <c r="A1211" s="11" t="str">
        <f>"11.1"</f>
        <v>11.1</v>
      </c>
      <c r="B1211" s="11" t="s">
        <v>2633</v>
      </c>
      <c r="C1211" s="14">
        <v>3</v>
      </c>
    </row>
    <row r="1212" spans="1:5">
      <c r="A1212" s="11" t="s">
        <v>2634</v>
      </c>
      <c r="B1212" s="11" t="s">
        <v>2635</v>
      </c>
      <c r="C1212" s="14">
        <v>2</v>
      </c>
    </row>
    <row r="1213" spans="1:5">
      <c r="A1213" s="11" t="s">
        <v>2634</v>
      </c>
      <c r="B1213" s="11" t="s">
        <v>2635</v>
      </c>
      <c r="C1213" s="14">
        <v>3</v>
      </c>
    </row>
    <row r="1214" spans="1:5" s="15" customFormat="1">
      <c r="A1214" s="15" t="s">
        <v>2636</v>
      </c>
      <c r="B1214" s="15" t="s">
        <v>2637</v>
      </c>
      <c r="C1214" s="15">
        <v>3</v>
      </c>
    </row>
    <row r="1215" spans="1:5">
      <c r="A1215" s="15" t="s">
        <v>2638</v>
      </c>
      <c r="B1215" s="15" t="s">
        <v>2639</v>
      </c>
      <c r="C1215" s="15">
        <v>3</v>
      </c>
    </row>
    <row r="1216" spans="1:5">
      <c r="A1216" s="7" t="s">
        <v>2903</v>
      </c>
      <c r="B1216" s="8" t="s">
        <v>2998</v>
      </c>
      <c r="C1216" s="8">
        <v>3</v>
      </c>
      <c r="D1216" s="30">
        <v>42317</v>
      </c>
      <c r="E1216" s="11" t="s">
        <v>2999</v>
      </c>
    </row>
    <row r="1217" spans="1:16384">
      <c r="A1217" s="35" t="s">
        <v>2904</v>
      </c>
      <c r="B1217" s="9" t="s">
        <v>3000</v>
      </c>
      <c r="C1217" s="9">
        <v>3</v>
      </c>
      <c r="D1217" s="36">
        <v>42317</v>
      </c>
    </row>
    <row r="1218" spans="1:16384">
      <c r="A1218" s="8" t="s">
        <v>2905</v>
      </c>
      <c r="B1218" s="8" t="s">
        <v>2640</v>
      </c>
      <c r="C1218" s="8">
        <v>3</v>
      </c>
      <c r="D1218" s="30">
        <v>42317</v>
      </c>
      <c r="E1218" s="11" t="s">
        <v>2978</v>
      </c>
    </row>
    <row r="1219" spans="1:16384">
      <c r="A1219" s="9" t="s">
        <v>2906</v>
      </c>
      <c r="B1219" s="9" t="s">
        <v>2973</v>
      </c>
      <c r="C1219" s="9">
        <v>3</v>
      </c>
      <c r="D1219" s="36">
        <v>42317</v>
      </c>
    </row>
    <row r="1220" spans="1:16384">
      <c r="A1220" s="9" t="s">
        <v>2979</v>
      </c>
      <c r="B1220" s="9" t="s">
        <v>2957</v>
      </c>
      <c r="C1220" s="9">
        <v>3</v>
      </c>
      <c r="D1220" s="36">
        <v>42317</v>
      </c>
    </row>
    <row r="1221" spans="1:16384">
      <c r="A1221" s="9" t="s">
        <v>2980</v>
      </c>
      <c r="B1221" s="9" t="s">
        <v>2958</v>
      </c>
      <c r="C1221" s="9">
        <v>3</v>
      </c>
      <c r="D1221" s="36">
        <v>42317</v>
      </c>
    </row>
    <row r="1222" spans="1:16384">
      <c r="A1222" s="8" t="s">
        <v>2908</v>
      </c>
      <c r="B1222" s="8" t="s">
        <v>2956</v>
      </c>
      <c r="C1222" s="8">
        <v>3</v>
      </c>
      <c r="D1222" s="30">
        <v>42317</v>
      </c>
      <c r="E1222" s="11" t="s">
        <v>2988</v>
      </c>
    </row>
    <row r="1223" spans="1:16384">
      <c r="A1223" s="37" t="s">
        <v>2909</v>
      </c>
      <c r="B1223" s="38" t="s">
        <v>2709</v>
      </c>
      <c r="C1223" s="9">
        <v>3</v>
      </c>
      <c r="D1223" s="36">
        <v>42317</v>
      </c>
      <c r="G1223" s="5">
        <v>3</v>
      </c>
      <c r="H1223" s="6">
        <v>42299</v>
      </c>
      <c r="I1223" s="3"/>
      <c r="J1223" s="4"/>
      <c r="K1223" s="4"/>
      <c r="L1223" s="18"/>
      <c r="M1223" s="3"/>
      <c r="N1223" s="4"/>
      <c r="O1223" s="4"/>
      <c r="P1223" s="18"/>
      <c r="Q1223" s="3"/>
      <c r="R1223" s="4"/>
      <c r="S1223" s="4"/>
      <c r="T1223" s="18"/>
      <c r="U1223" s="3"/>
      <c r="V1223" s="4"/>
      <c r="W1223" s="4"/>
      <c r="X1223" s="18"/>
      <c r="Y1223" s="3"/>
      <c r="Z1223" s="4"/>
      <c r="AA1223" s="4"/>
      <c r="AB1223" s="18"/>
      <c r="AC1223" s="3"/>
      <c r="AD1223" s="4"/>
      <c r="AE1223" s="4"/>
      <c r="AF1223" s="18"/>
      <c r="AG1223" s="3"/>
      <c r="AH1223" s="4"/>
      <c r="AI1223" s="4"/>
      <c r="AJ1223" s="18"/>
      <c r="AK1223" s="3"/>
      <c r="AL1223" s="4"/>
      <c r="AM1223" s="4"/>
      <c r="AN1223" s="18"/>
      <c r="AO1223" s="3"/>
      <c r="AP1223" s="4"/>
      <c r="AQ1223" s="4"/>
      <c r="AR1223" s="18"/>
      <c r="AS1223" s="3"/>
      <c r="AT1223" s="4"/>
      <c r="AU1223" s="4"/>
      <c r="AV1223" s="18"/>
      <c r="AW1223" s="3"/>
      <c r="AX1223" s="4"/>
      <c r="AY1223" s="4"/>
      <c r="AZ1223" s="18"/>
      <c r="BA1223" s="3"/>
      <c r="BB1223" s="4"/>
      <c r="BC1223" s="4"/>
      <c r="BD1223" s="18"/>
      <c r="BE1223" s="3"/>
      <c r="BF1223" s="4"/>
      <c r="BG1223" s="4"/>
      <c r="BH1223" s="18"/>
      <c r="BI1223" s="3"/>
      <c r="BJ1223" s="4"/>
      <c r="BK1223" s="4"/>
      <c r="BL1223" s="18"/>
      <c r="BM1223" s="3"/>
      <c r="BN1223" s="4"/>
      <c r="BO1223" s="4"/>
      <c r="BP1223" s="18"/>
      <c r="BQ1223" s="3"/>
      <c r="BR1223" s="4"/>
      <c r="BS1223" s="4"/>
      <c r="BT1223" s="18"/>
      <c r="BU1223" s="3"/>
      <c r="BV1223" s="4"/>
      <c r="BW1223" s="4"/>
      <c r="BX1223" s="18"/>
      <c r="BY1223" s="3"/>
      <c r="BZ1223" s="4"/>
      <c r="CA1223" s="4"/>
      <c r="CB1223" s="18"/>
      <c r="CC1223" s="3"/>
      <c r="CD1223" s="4"/>
      <c r="CE1223" s="4"/>
      <c r="CF1223" s="18"/>
      <c r="CG1223" s="3"/>
      <c r="CH1223" s="4"/>
      <c r="CI1223" s="4"/>
      <c r="CJ1223" s="18"/>
      <c r="CK1223" s="3"/>
      <c r="CL1223" s="4"/>
      <c r="CM1223" s="4"/>
      <c r="CN1223" s="18"/>
      <c r="CO1223" s="3"/>
      <c r="CP1223" s="4"/>
      <c r="CQ1223" s="4"/>
      <c r="CR1223" s="18"/>
      <c r="CS1223" s="3"/>
      <c r="CT1223" s="4"/>
      <c r="CU1223" s="4"/>
      <c r="CV1223" s="18"/>
      <c r="CW1223" s="3"/>
      <c r="CX1223" s="4"/>
      <c r="CY1223" s="4"/>
      <c r="CZ1223" s="18"/>
      <c r="DA1223" s="3"/>
      <c r="DB1223" s="4"/>
      <c r="DC1223" s="4"/>
      <c r="DD1223" s="18"/>
      <c r="DE1223" s="3"/>
      <c r="DF1223" s="4"/>
      <c r="DG1223" s="4"/>
      <c r="DH1223" s="18"/>
      <c r="DI1223" s="3"/>
      <c r="DJ1223" s="4"/>
      <c r="DK1223" s="4"/>
      <c r="DL1223" s="18"/>
      <c r="DM1223" s="3"/>
      <c r="DN1223" s="4"/>
      <c r="DO1223" s="4"/>
      <c r="DP1223" s="18"/>
      <c r="DQ1223" s="3"/>
      <c r="DR1223" s="4"/>
      <c r="DS1223" s="4"/>
      <c r="DT1223" s="18"/>
      <c r="DU1223" s="3"/>
      <c r="DV1223" s="4"/>
      <c r="DW1223" s="4"/>
      <c r="DX1223" s="18"/>
      <c r="DY1223" s="3"/>
      <c r="DZ1223" s="4"/>
      <c r="EA1223" s="4"/>
      <c r="EB1223" s="18"/>
      <c r="EC1223" s="3"/>
      <c r="ED1223" s="4"/>
      <c r="EE1223" s="4"/>
      <c r="EF1223" s="18"/>
      <c r="EG1223" s="3"/>
      <c r="EH1223" s="4"/>
      <c r="EI1223" s="4"/>
      <c r="EJ1223" s="18"/>
      <c r="EK1223" s="3"/>
      <c r="EL1223" s="4"/>
      <c r="EM1223" s="4"/>
      <c r="EN1223" s="18"/>
      <c r="EO1223" s="3"/>
      <c r="EP1223" s="4"/>
      <c r="EQ1223" s="4"/>
      <c r="ER1223" s="18"/>
      <c r="ES1223" s="3"/>
      <c r="ET1223" s="4"/>
      <c r="EU1223" s="4"/>
      <c r="EV1223" s="18"/>
      <c r="EW1223" s="3"/>
      <c r="EX1223" s="4"/>
      <c r="EY1223" s="4"/>
      <c r="EZ1223" s="18"/>
      <c r="FA1223" s="3"/>
      <c r="FB1223" s="4"/>
      <c r="FC1223" s="4"/>
      <c r="FD1223" s="18"/>
      <c r="FE1223" s="3"/>
      <c r="FF1223" s="4"/>
      <c r="FG1223" s="4"/>
      <c r="FH1223" s="18"/>
      <c r="FI1223" s="3"/>
      <c r="FJ1223" s="4"/>
      <c r="FK1223" s="4"/>
      <c r="FL1223" s="18"/>
      <c r="FM1223" s="3"/>
      <c r="FN1223" s="4"/>
      <c r="FO1223" s="4"/>
      <c r="FP1223" s="18"/>
      <c r="FQ1223" s="3"/>
      <c r="FR1223" s="4"/>
      <c r="FS1223" s="4"/>
      <c r="FT1223" s="18"/>
      <c r="FU1223" s="3"/>
      <c r="FV1223" s="4"/>
      <c r="FW1223" s="4"/>
      <c r="FX1223" s="18"/>
      <c r="FY1223" s="3"/>
      <c r="FZ1223" s="4"/>
      <c r="GA1223" s="4"/>
      <c r="GB1223" s="18"/>
      <c r="GC1223" s="3"/>
      <c r="GD1223" s="4"/>
      <c r="GE1223" s="4"/>
      <c r="GF1223" s="18"/>
      <c r="GG1223" s="3"/>
      <c r="GH1223" s="4"/>
      <c r="GI1223" s="4"/>
      <c r="GJ1223" s="18"/>
      <c r="GK1223" s="3"/>
      <c r="GL1223" s="4"/>
      <c r="GM1223" s="4"/>
      <c r="GN1223" s="18"/>
      <c r="GO1223" s="3"/>
      <c r="GP1223" s="4"/>
      <c r="GQ1223" s="4"/>
      <c r="GR1223" s="18"/>
      <c r="GS1223" s="3"/>
      <c r="GT1223" s="4"/>
      <c r="GU1223" s="4"/>
      <c r="GV1223" s="18"/>
      <c r="GW1223" s="3"/>
      <c r="GX1223" s="4"/>
      <c r="GY1223" s="4"/>
      <c r="GZ1223" s="18"/>
      <c r="HA1223" s="3"/>
      <c r="HB1223" s="4"/>
      <c r="HC1223" s="4"/>
      <c r="HD1223" s="18"/>
      <c r="HE1223" s="3"/>
      <c r="HF1223" s="4"/>
      <c r="HG1223" s="4"/>
      <c r="HH1223" s="18"/>
      <c r="HI1223" s="3"/>
      <c r="HJ1223" s="4"/>
      <c r="HK1223" s="4"/>
      <c r="HL1223" s="18"/>
      <c r="HM1223" s="3"/>
      <c r="HN1223" s="4"/>
      <c r="HO1223" s="4"/>
      <c r="HP1223" s="18"/>
      <c r="HQ1223" s="3"/>
      <c r="HR1223" s="4"/>
      <c r="HS1223" s="4"/>
      <c r="HT1223" s="18"/>
      <c r="HU1223" s="3"/>
      <c r="HV1223" s="4"/>
      <c r="HW1223" s="4"/>
      <c r="HX1223" s="18"/>
      <c r="HY1223" s="3"/>
      <c r="HZ1223" s="4"/>
      <c r="IA1223" s="4"/>
      <c r="IB1223" s="18"/>
      <c r="IC1223" s="3"/>
      <c r="ID1223" s="4"/>
      <c r="IE1223" s="4"/>
      <c r="IF1223" s="18"/>
      <c r="IG1223" s="3"/>
      <c r="IH1223" s="4"/>
      <c r="II1223" s="4"/>
      <c r="IJ1223" s="18"/>
      <c r="IK1223" s="3"/>
      <c r="IL1223" s="4"/>
      <c r="IM1223" s="4"/>
      <c r="IN1223" s="18"/>
      <c r="IO1223" s="3"/>
      <c r="IP1223" s="4"/>
      <c r="IQ1223" s="4"/>
      <c r="IR1223" s="18"/>
      <c r="IS1223" s="3"/>
      <c r="IT1223" s="4"/>
      <c r="IU1223" s="4"/>
      <c r="IV1223" s="18"/>
      <c r="IW1223" s="3"/>
      <c r="IX1223" s="4"/>
      <c r="IY1223" s="4"/>
      <c r="IZ1223" s="18"/>
      <c r="JA1223" s="3"/>
      <c r="JB1223" s="4"/>
      <c r="JC1223" s="4"/>
      <c r="JD1223" s="18"/>
      <c r="JE1223" s="3"/>
      <c r="JF1223" s="4"/>
      <c r="JG1223" s="4"/>
      <c r="JH1223" s="18"/>
      <c r="JI1223" s="3"/>
      <c r="JJ1223" s="4"/>
      <c r="JK1223" s="4"/>
      <c r="JL1223" s="18"/>
      <c r="JM1223" s="3"/>
      <c r="JN1223" s="4"/>
      <c r="JO1223" s="4"/>
      <c r="JP1223" s="18"/>
      <c r="JQ1223" s="3"/>
      <c r="JR1223" s="4"/>
      <c r="JS1223" s="4"/>
      <c r="JT1223" s="18"/>
      <c r="JU1223" s="3"/>
      <c r="JV1223" s="4"/>
      <c r="JW1223" s="4"/>
      <c r="JX1223" s="18"/>
      <c r="JY1223" s="3"/>
      <c r="JZ1223" s="4"/>
      <c r="KA1223" s="4"/>
      <c r="KB1223" s="18"/>
      <c r="KC1223" s="3"/>
      <c r="KD1223" s="4"/>
      <c r="KE1223" s="4"/>
      <c r="KF1223" s="18"/>
      <c r="KG1223" s="3"/>
      <c r="KH1223" s="4"/>
      <c r="KI1223" s="4"/>
      <c r="KJ1223" s="18"/>
      <c r="KK1223" s="3"/>
      <c r="KL1223" s="4"/>
      <c r="KM1223" s="4"/>
      <c r="KN1223" s="18"/>
      <c r="KO1223" s="3"/>
      <c r="KP1223" s="4"/>
      <c r="KQ1223" s="4"/>
      <c r="KR1223" s="18"/>
      <c r="KS1223" s="3"/>
      <c r="KT1223" s="4"/>
      <c r="KU1223" s="4"/>
      <c r="KV1223" s="18"/>
      <c r="KW1223" s="3"/>
      <c r="KX1223" s="4"/>
      <c r="KY1223" s="4"/>
      <c r="KZ1223" s="18"/>
      <c r="LA1223" s="3"/>
      <c r="LB1223" s="4"/>
      <c r="LC1223" s="4"/>
      <c r="LD1223" s="18"/>
      <c r="LE1223" s="3"/>
      <c r="LF1223" s="4"/>
      <c r="LG1223" s="4"/>
      <c r="LH1223" s="18"/>
      <c r="LI1223" s="3"/>
      <c r="LJ1223" s="4"/>
      <c r="LK1223" s="4"/>
      <c r="LL1223" s="18"/>
      <c r="LM1223" s="3"/>
      <c r="LN1223" s="4"/>
      <c r="LO1223" s="4"/>
      <c r="LP1223" s="18"/>
      <c r="LQ1223" s="3"/>
      <c r="LR1223" s="4"/>
      <c r="LS1223" s="4"/>
      <c r="LT1223" s="18"/>
      <c r="LU1223" s="3"/>
      <c r="LV1223" s="4"/>
      <c r="LW1223" s="4"/>
      <c r="LX1223" s="18"/>
      <c r="LY1223" s="3"/>
      <c r="LZ1223" s="4"/>
      <c r="MA1223" s="4"/>
      <c r="MB1223" s="18"/>
      <c r="MC1223" s="3"/>
      <c r="MD1223" s="4"/>
      <c r="ME1223" s="4"/>
      <c r="MF1223" s="18"/>
      <c r="MG1223" s="3"/>
      <c r="MH1223" s="4"/>
      <c r="MI1223" s="4"/>
      <c r="MJ1223" s="18"/>
      <c r="MK1223" s="3"/>
      <c r="ML1223" s="4"/>
      <c r="MM1223" s="4"/>
      <c r="MN1223" s="18"/>
      <c r="MO1223" s="3"/>
      <c r="MP1223" s="4"/>
      <c r="MQ1223" s="4"/>
      <c r="MR1223" s="18"/>
      <c r="MS1223" s="3"/>
      <c r="MT1223" s="4"/>
      <c r="MU1223" s="4"/>
      <c r="MV1223" s="18"/>
      <c r="MW1223" s="3"/>
      <c r="MX1223" s="4"/>
      <c r="MY1223" s="4"/>
      <c r="MZ1223" s="18"/>
      <c r="NA1223" s="3"/>
      <c r="NB1223" s="4"/>
      <c r="NC1223" s="4"/>
      <c r="ND1223" s="18"/>
      <c r="NE1223" s="3"/>
      <c r="NF1223" s="4"/>
      <c r="NG1223" s="4"/>
      <c r="NH1223" s="18"/>
      <c r="NI1223" s="3"/>
      <c r="NJ1223" s="4"/>
      <c r="NK1223" s="4"/>
      <c r="NL1223" s="18"/>
      <c r="NM1223" s="3"/>
      <c r="NN1223" s="4"/>
      <c r="NO1223" s="4"/>
      <c r="NP1223" s="18"/>
      <c r="NQ1223" s="3"/>
      <c r="NR1223" s="4"/>
      <c r="NS1223" s="4"/>
      <c r="NT1223" s="18"/>
      <c r="NU1223" s="3"/>
      <c r="NV1223" s="4"/>
      <c r="NW1223" s="4"/>
      <c r="NX1223" s="18"/>
      <c r="NY1223" s="3"/>
      <c r="NZ1223" s="4"/>
      <c r="OA1223" s="4"/>
      <c r="OB1223" s="18"/>
      <c r="OC1223" s="3"/>
      <c r="OD1223" s="4"/>
      <c r="OE1223" s="4"/>
      <c r="OF1223" s="18"/>
      <c r="OG1223" s="3"/>
      <c r="OH1223" s="4"/>
      <c r="OI1223" s="4"/>
      <c r="OJ1223" s="18"/>
      <c r="OK1223" s="3"/>
      <c r="OL1223" s="4"/>
      <c r="OM1223" s="4"/>
      <c r="ON1223" s="18"/>
      <c r="OO1223" s="3"/>
      <c r="OP1223" s="4"/>
      <c r="OQ1223" s="4"/>
      <c r="OR1223" s="18"/>
      <c r="OS1223" s="3"/>
      <c r="OT1223" s="4"/>
      <c r="OU1223" s="4"/>
      <c r="OV1223" s="18"/>
      <c r="OW1223" s="3"/>
      <c r="OX1223" s="4"/>
      <c r="OY1223" s="4"/>
      <c r="OZ1223" s="18"/>
      <c r="PA1223" s="3"/>
      <c r="PB1223" s="4"/>
      <c r="PC1223" s="4"/>
      <c r="PD1223" s="18"/>
      <c r="PE1223" s="3"/>
      <c r="PF1223" s="4"/>
      <c r="PG1223" s="4"/>
      <c r="PH1223" s="18"/>
      <c r="PI1223" s="3"/>
      <c r="PJ1223" s="4"/>
      <c r="PK1223" s="4"/>
      <c r="PL1223" s="18"/>
      <c r="PM1223" s="3"/>
      <c r="PN1223" s="4"/>
      <c r="PO1223" s="4"/>
      <c r="PP1223" s="18"/>
      <c r="PQ1223" s="3"/>
      <c r="PR1223" s="4"/>
      <c r="PS1223" s="4"/>
      <c r="PT1223" s="18"/>
      <c r="PU1223" s="3"/>
      <c r="PV1223" s="4"/>
      <c r="PW1223" s="4"/>
      <c r="PX1223" s="18"/>
      <c r="PY1223" s="3"/>
      <c r="PZ1223" s="4"/>
      <c r="QA1223" s="4"/>
      <c r="QB1223" s="18"/>
      <c r="QC1223" s="3"/>
      <c r="QD1223" s="4"/>
      <c r="QE1223" s="4"/>
      <c r="QF1223" s="18"/>
      <c r="QG1223" s="3"/>
      <c r="QH1223" s="4"/>
      <c r="QI1223" s="4"/>
      <c r="QJ1223" s="18"/>
      <c r="QK1223" s="3"/>
      <c r="QL1223" s="4"/>
      <c r="QM1223" s="4"/>
      <c r="QN1223" s="18"/>
      <c r="QO1223" s="3"/>
      <c r="QP1223" s="4"/>
      <c r="QQ1223" s="4"/>
      <c r="QR1223" s="18"/>
      <c r="QS1223" s="3"/>
      <c r="QT1223" s="4"/>
      <c r="QU1223" s="4"/>
      <c r="QV1223" s="18"/>
      <c r="QW1223" s="3"/>
      <c r="QX1223" s="4"/>
      <c r="QY1223" s="4"/>
      <c r="QZ1223" s="18"/>
      <c r="RA1223" s="3"/>
      <c r="RB1223" s="4"/>
      <c r="RC1223" s="4"/>
      <c r="RD1223" s="18"/>
      <c r="RE1223" s="3"/>
      <c r="RF1223" s="4"/>
      <c r="RG1223" s="4"/>
      <c r="RH1223" s="18"/>
      <c r="RI1223" s="3"/>
      <c r="RJ1223" s="4"/>
      <c r="RK1223" s="4"/>
      <c r="RL1223" s="18"/>
      <c r="RM1223" s="3"/>
      <c r="RN1223" s="4"/>
      <c r="RO1223" s="4"/>
      <c r="RP1223" s="18"/>
      <c r="RQ1223" s="3"/>
      <c r="RR1223" s="4"/>
      <c r="RS1223" s="4"/>
      <c r="RT1223" s="18"/>
      <c r="RU1223" s="3"/>
      <c r="RV1223" s="4"/>
      <c r="RW1223" s="4"/>
      <c r="RX1223" s="18"/>
      <c r="RY1223" s="3"/>
      <c r="RZ1223" s="4"/>
      <c r="SA1223" s="4"/>
      <c r="SB1223" s="18"/>
      <c r="SC1223" s="3"/>
      <c r="SD1223" s="4"/>
      <c r="SE1223" s="4"/>
      <c r="SF1223" s="18"/>
      <c r="SG1223" s="3"/>
      <c r="SH1223" s="4"/>
      <c r="SI1223" s="4"/>
      <c r="SJ1223" s="18"/>
      <c r="SK1223" s="3"/>
      <c r="SL1223" s="4"/>
      <c r="SM1223" s="4"/>
      <c r="SN1223" s="18"/>
      <c r="SO1223" s="3"/>
      <c r="SP1223" s="4"/>
      <c r="SQ1223" s="4"/>
      <c r="SR1223" s="18"/>
      <c r="SS1223" s="3"/>
      <c r="ST1223" s="4"/>
      <c r="SU1223" s="4"/>
      <c r="SV1223" s="18"/>
      <c r="SW1223" s="3"/>
      <c r="SX1223" s="4"/>
      <c r="SY1223" s="4"/>
      <c r="SZ1223" s="18"/>
      <c r="TA1223" s="3"/>
      <c r="TB1223" s="4"/>
      <c r="TC1223" s="4"/>
      <c r="TD1223" s="18"/>
      <c r="TE1223" s="3"/>
      <c r="TF1223" s="4"/>
      <c r="TG1223" s="4"/>
      <c r="TH1223" s="18"/>
      <c r="TI1223" s="3"/>
      <c r="TJ1223" s="4"/>
      <c r="TK1223" s="4"/>
      <c r="TL1223" s="18"/>
      <c r="TM1223" s="3"/>
      <c r="TN1223" s="4"/>
      <c r="TO1223" s="4"/>
      <c r="TP1223" s="18"/>
      <c r="TQ1223" s="3"/>
      <c r="TR1223" s="4"/>
      <c r="TS1223" s="4"/>
      <c r="TT1223" s="18"/>
      <c r="TU1223" s="3"/>
      <c r="TV1223" s="4"/>
      <c r="TW1223" s="4"/>
      <c r="TX1223" s="18"/>
      <c r="TY1223" s="3"/>
      <c r="TZ1223" s="4"/>
      <c r="UA1223" s="4"/>
      <c r="UB1223" s="18"/>
      <c r="UC1223" s="3"/>
      <c r="UD1223" s="4"/>
      <c r="UE1223" s="4"/>
      <c r="UF1223" s="18"/>
      <c r="UG1223" s="3"/>
      <c r="UH1223" s="4"/>
      <c r="UI1223" s="4"/>
      <c r="UJ1223" s="18"/>
      <c r="UK1223" s="3"/>
      <c r="UL1223" s="4"/>
      <c r="UM1223" s="4"/>
      <c r="UN1223" s="18"/>
      <c r="UO1223" s="3"/>
      <c r="UP1223" s="4"/>
      <c r="UQ1223" s="4"/>
      <c r="UR1223" s="18"/>
      <c r="US1223" s="3"/>
      <c r="UT1223" s="4"/>
      <c r="UU1223" s="4"/>
      <c r="UV1223" s="18"/>
      <c r="UW1223" s="3"/>
      <c r="UX1223" s="4"/>
      <c r="UY1223" s="4"/>
      <c r="UZ1223" s="18"/>
      <c r="VA1223" s="3"/>
      <c r="VB1223" s="4"/>
      <c r="VC1223" s="4"/>
      <c r="VD1223" s="18"/>
      <c r="VE1223" s="3"/>
      <c r="VF1223" s="4"/>
      <c r="VG1223" s="4"/>
      <c r="VH1223" s="18"/>
      <c r="VI1223" s="3"/>
      <c r="VJ1223" s="4"/>
      <c r="VK1223" s="4"/>
      <c r="VL1223" s="18"/>
      <c r="VM1223" s="3"/>
      <c r="VN1223" s="4"/>
      <c r="VO1223" s="4"/>
      <c r="VP1223" s="18"/>
      <c r="VQ1223" s="3"/>
      <c r="VR1223" s="4"/>
      <c r="VS1223" s="4"/>
      <c r="VT1223" s="18"/>
      <c r="VU1223" s="3"/>
      <c r="VV1223" s="4"/>
      <c r="VW1223" s="4"/>
      <c r="VX1223" s="18"/>
      <c r="VY1223" s="3"/>
      <c r="VZ1223" s="4"/>
      <c r="WA1223" s="4"/>
      <c r="WB1223" s="18"/>
      <c r="WC1223" s="3"/>
      <c r="WD1223" s="4"/>
      <c r="WE1223" s="4"/>
      <c r="WF1223" s="18"/>
      <c r="WG1223" s="3"/>
      <c r="WH1223" s="4"/>
      <c r="WI1223" s="4"/>
      <c r="WJ1223" s="18"/>
      <c r="WK1223" s="3"/>
      <c r="WL1223" s="4"/>
      <c r="WM1223" s="4"/>
      <c r="WN1223" s="18"/>
      <c r="WO1223" s="3"/>
      <c r="WP1223" s="4"/>
      <c r="WQ1223" s="4"/>
      <c r="WR1223" s="18"/>
      <c r="WS1223" s="3"/>
      <c r="WT1223" s="4"/>
      <c r="WU1223" s="4"/>
      <c r="WV1223" s="18"/>
      <c r="WW1223" s="3"/>
      <c r="WX1223" s="4"/>
      <c r="WY1223" s="4"/>
      <c r="WZ1223" s="18"/>
      <c r="XA1223" s="3"/>
      <c r="XB1223" s="4"/>
      <c r="XC1223" s="4"/>
      <c r="XD1223" s="18"/>
      <c r="XE1223" s="3"/>
      <c r="XF1223" s="4"/>
      <c r="XG1223" s="4"/>
      <c r="XH1223" s="18"/>
      <c r="XI1223" s="3"/>
      <c r="XJ1223" s="4"/>
      <c r="XK1223" s="4"/>
      <c r="XL1223" s="18"/>
      <c r="XM1223" s="3"/>
      <c r="XN1223" s="4"/>
      <c r="XO1223" s="4"/>
      <c r="XP1223" s="18"/>
      <c r="XQ1223" s="3"/>
      <c r="XR1223" s="4"/>
      <c r="XS1223" s="4"/>
      <c r="XT1223" s="18"/>
      <c r="XU1223" s="3"/>
      <c r="XV1223" s="4"/>
      <c r="XW1223" s="4"/>
      <c r="XX1223" s="18"/>
      <c r="XY1223" s="3"/>
      <c r="XZ1223" s="4"/>
      <c r="YA1223" s="4"/>
      <c r="YB1223" s="18"/>
      <c r="YC1223" s="3"/>
      <c r="YD1223" s="4"/>
      <c r="YE1223" s="4"/>
      <c r="YF1223" s="18"/>
      <c r="YG1223" s="3"/>
      <c r="YH1223" s="4"/>
      <c r="YI1223" s="4"/>
      <c r="YJ1223" s="18"/>
      <c r="YK1223" s="3"/>
      <c r="YL1223" s="4"/>
      <c r="YM1223" s="4"/>
      <c r="YN1223" s="18"/>
      <c r="YO1223" s="3"/>
      <c r="YP1223" s="4"/>
      <c r="YQ1223" s="4"/>
      <c r="YR1223" s="18"/>
      <c r="YS1223" s="3"/>
      <c r="YT1223" s="4"/>
      <c r="YU1223" s="4"/>
      <c r="YV1223" s="18"/>
      <c r="YW1223" s="3"/>
      <c r="YX1223" s="4"/>
      <c r="YY1223" s="4"/>
      <c r="YZ1223" s="18"/>
      <c r="ZA1223" s="3"/>
      <c r="ZB1223" s="4"/>
      <c r="ZC1223" s="4"/>
      <c r="ZD1223" s="18"/>
      <c r="ZE1223" s="3"/>
      <c r="ZF1223" s="4"/>
      <c r="ZG1223" s="4"/>
      <c r="ZH1223" s="18"/>
      <c r="ZI1223" s="3"/>
      <c r="ZJ1223" s="4"/>
      <c r="ZK1223" s="4"/>
      <c r="ZL1223" s="18"/>
      <c r="ZM1223" s="3"/>
      <c r="ZN1223" s="4"/>
      <c r="ZO1223" s="4"/>
      <c r="ZP1223" s="18"/>
      <c r="ZQ1223" s="3"/>
      <c r="ZR1223" s="4"/>
      <c r="ZS1223" s="4"/>
      <c r="ZT1223" s="18"/>
      <c r="ZU1223" s="3"/>
      <c r="ZV1223" s="4"/>
      <c r="ZW1223" s="4"/>
      <c r="ZX1223" s="18"/>
      <c r="ZY1223" s="3"/>
      <c r="ZZ1223" s="4"/>
      <c r="AAA1223" s="4"/>
      <c r="AAB1223" s="18"/>
      <c r="AAC1223" s="3"/>
      <c r="AAD1223" s="4"/>
      <c r="AAE1223" s="4"/>
      <c r="AAF1223" s="18"/>
      <c r="AAG1223" s="3"/>
      <c r="AAH1223" s="4"/>
      <c r="AAI1223" s="4"/>
      <c r="AAJ1223" s="18"/>
      <c r="AAK1223" s="3"/>
      <c r="AAL1223" s="4"/>
      <c r="AAM1223" s="4"/>
      <c r="AAN1223" s="18"/>
      <c r="AAO1223" s="3"/>
      <c r="AAP1223" s="4"/>
      <c r="AAQ1223" s="4"/>
      <c r="AAR1223" s="18"/>
      <c r="AAS1223" s="3"/>
      <c r="AAT1223" s="4"/>
      <c r="AAU1223" s="4"/>
      <c r="AAV1223" s="18"/>
      <c r="AAW1223" s="3"/>
      <c r="AAX1223" s="4"/>
      <c r="AAY1223" s="4"/>
      <c r="AAZ1223" s="18"/>
      <c r="ABA1223" s="3"/>
      <c r="ABB1223" s="4"/>
      <c r="ABC1223" s="4"/>
      <c r="ABD1223" s="18"/>
      <c r="ABE1223" s="3"/>
      <c r="ABF1223" s="4"/>
      <c r="ABG1223" s="4"/>
      <c r="ABH1223" s="18"/>
      <c r="ABI1223" s="3"/>
      <c r="ABJ1223" s="4"/>
      <c r="ABK1223" s="4"/>
      <c r="ABL1223" s="18"/>
      <c r="ABM1223" s="3"/>
      <c r="ABN1223" s="4"/>
      <c r="ABO1223" s="4"/>
      <c r="ABP1223" s="18"/>
      <c r="ABQ1223" s="3"/>
      <c r="ABR1223" s="4"/>
      <c r="ABS1223" s="4"/>
      <c r="ABT1223" s="18"/>
      <c r="ABU1223" s="3"/>
      <c r="ABV1223" s="4"/>
      <c r="ABW1223" s="4"/>
      <c r="ABX1223" s="18"/>
      <c r="ABY1223" s="3"/>
      <c r="ABZ1223" s="4"/>
      <c r="ACA1223" s="4"/>
      <c r="ACB1223" s="18"/>
      <c r="ACC1223" s="3"/>
      <c r="ACD1223" s="4"/>
      <c r="ACE1223" s="4"/>
      <c r="ACF1223" s="18"/>
      <c r="ACG1223" s="3"/>
      <c r="ACH1223" s="4"/>
      <c r="ACI1223" s="4"/>
      <c r="ACJ1223" s="18"/>
      <c r="ACK1223" s="3"/>
      <c r="ACL1223" s="4"/>
      <c r="ACM1223" s="4"/>
      <c r="ACN1223" s="18"/>
      <c r="ACO1223" s="3"/>
      <c r="ACP1223" s="4"/>
      <c r="ACQ1223" s="4"/>
      <c r="ACR1223" s="18"/>
      <c r="ACS1223" s="3"/>
      <c r="ACT1223" s="4"/>
      <c r="ACU1223" s="4"/>
      <c r="ACV1223" s="18"/>
      <c r="ACW1223" s="3"/>
      <c r="ACX1223" s="4"/>
      <c r="ACY1223" s="4"/>
      <c r="ACZ1223" s="18"/>
      <c r="ADA1223" s="3"/>
      <c r="ADB1223" s="4"/>
      <c r="ADC1223" s="4"/>
      <c r="ADD1223" s="18"/>
      <c r="ADE1223" s="3"/>
      <c r="ADF1223" s="4"/>
      <c r="ADG1223" s="4"/>
      <c r="ADH1223" s="18"/>
      <c r="ADI1223" s="3"/>
      <c r="ADJ1223" s="4"/>
      <c r="ADK1223" s="4"/>
      <c r="ADL1223" s="18"/>
      <c r="ADM1223" s="3"/>
      <c r="ADN1223" s="4"/>
      <c r="ADO1223" s="4"/>
      <c r="ADP1223" s="18"/>
      <c r="ADQ1223" s="3"/>
      <c r="ADR1223" s="4"/>
      <c r="ADS1223" s="4"/>
      <c r="ADT1223" s="18"/>
      <c r="ADU1223" s="3"/>
      <c r="ADV1223" s="4"/>
      <c r="ADW1223" s="4"/>
      <c r="ADX1223" s="18"/>
      <c r="ADY1223" s="3"/>
      <c r="ADZ1223" s="4"/>
      <c r="AEA1223" s="4"/>
      <c r="AEB1223" s="18"/>
      <c r="AEC1223" s="3"/>
      <c r="AED1223" s="4"/>
      <c r="AEE1223" s="4"/>
      <c r="AEF1223" s="18"/>
      <c r="AEG1223" s="3"/>
      <c r="AEH1223" s="4"/>
      <c r="AEI1223" s="4"/>
      <c r="AEJ1223" s="18"/>
      <c r="AEK1223" s="3"/>
      <c r="AEL1223" s="4"/>
      <c r="AEM1223" s="4"/>
      <c r="AEN1223" s="18"/>
      <c r="AEO1223" s="3"/>
      <c r="AEP1223" s="4"/>
      <c r="AEQ1223" s="4"/>
      <c r="AER1223" s="18"/>
      <c r="AES1223" s="3"/>
      <c r="AET1223" s="4"/>
      <c r="AEU1223" s="4"/>
      <c r="AEV1223" s="18"/>
      <c r="AEW1223" s="3"/>
      <c r="AEX1223" s="4"/>
      <c r="AEY1223" s="4"/>
      <c r="AEZ1223" s="18"/>
      <c r="AFA1223" s="3"/>
      <c r="AFB1223" s="4"/>
      <c r="AFC1223" s="4"/>
      <c r="AFD1223" s="18"/>
      <c r="AFE1223" s="3"/>
      <c r="AFF1223" s="4"/>
      <c r="AFG1223" s="4"/>
      <c r="AFH1223" s="18"/>
      <c r="AFI1223" s="3"/>
      <c r="AFJ1223" s="4"/>
      <c r="AFK1223" s="4"/>
      <c r="AFL1223" s="18"/>
      <c r="AFM1223" s="3"/>
      <c r="AFN1223" s="4"/>
      <c r="AFO1223" s="4"/>
      <c r="AFP1223" s="18"/>
      <c r="AFQ1223" s="3"/>
      <c r="AFR1223" s="4"/>
      <c r="AFS1223" s="4"/>
      <c r="AFT1223" s="18"/>
      <c r="AFU1223" s="3"/>
      <c r="AFV1223" s="4"/>
      <c r="AFW1223" s="4"/>
      <c r="AFX1223" s="18"/>
      <c r="AFY1223" s="3"/>
      <c r="AFZ1223" s="4"/>
      <c r="AGA1223" s="4"/>
      <c r="AGB1223" s="18"/>
      <c r="AGC1223" s="3"/>
      <c r="AGD1223" s="4"/>
      <c r="AGE1223" s="4"/>
      <c r="AGF1223" s="18"/>
      <c r="AGG1223" s="3"/>
      <c r="AGH1223" s="4"/>
      <c r="AGI1223" s="4"/>
      <c r="AGJ1223" s="18"/>
      <c r="AGK1223" s="3"/>
      <c r="AGL1223" s="4"/>
      <c r="AGM1223" s="4"/>
      <c r="AGN1223" s="18"/>
      <c r="AGO1223" s="3"/>
      <c r="AGP1223" s="4"/>
      <c r="AGQ1223" s="4"/>
      <c r="AGR1223" s="18"/>
      <c r="AGS1223" s="3"/>
      <c r="AGT1223" s="4"/>
      <c r="AGU1223" s="4"/>
      <c r="AGV1223" s="18"/>
      <c r="AGW1223" s="3"/>
      <c r="AGX1223" s="4"/>
      <c r="AGY1223" s="4"/>
      <c r="AGZ1223" s="18"/>
      <c r="AHA1223" s="3"/>
      <c r="AHB1223" s="4"/>
      <c r="AHC1223" s="4"/>
      <c r="AHD1223" s="18"/>
      <c r="AHE1223" s="3"/>
      <c r="AHF1223" s="4"/>
      <c r="AHG1223" s="4"/>
      <c r="AHH1223" s="18"/>
      <c r="AHI1223" s="3"/>
      <c r="AHJ1223" s="4"/>
      <c r="AHK1223" s="4"/>
      <c r="AHL1223" s="18"/>
      <c r="AHM1223" s="3"/>
      <c r="AHN1223" s="4"/>
      <c r="AHO1223" s="4"/>
      <c r="AHP1223" s="18"/>
      <c r="AHQ1223" s="3"/>
      <c r="AHR1223" s="4"/>
      <c r="AHS1223" s="4"/>
      <c r="AHT1223" s="18"/>
      <c r="AHU1223" s="3"/>
      <c r="AHV1223" s="4"/>
      <c r="AHW1223" s="4"/>
      <c r="AHX1223" s="18"/>
      <c r="AHY1223" s="3"/>
      <c r="AHZ1223" s="4"/>
      <c r="AIA1223" s="4"/>
      <c r="AIB1223" s="18"/>
      <c r="AIC1223" s="3"/>
      <c r="AID1223" s="4"/>
      <c r="AIE1223" s="4"/>
      <c r="AIF1223" s="18"/>
      <c r="AIG1223" s="3"/>
      <c r="AIH1223" s="4"/>
      <c r="AII1223" s="4"/>
      <c r="AIJ1223" s="18"/>
      <c r="AIK1223" s="3"/>
      <c r="AIL1223" s="4"/>
      <c r="AIM1223" s="4"/>
      <c r="AIN1223" s="18"/>
      <c r="AIO1223" s="3"/>
      <c r="AIP1223" s="4"/>
      <c r="AIQ1223" s="4"/>
      <c r="AIR1223" s="18"/>
      <c r="AIS1223" s="3"/>
      <c r="AIT1223" s="4"/>
      <c r="AIU1223" s="4"/>
      <c r="AIV1223" s="18"/>
      <c r="AIW1223" s="3"/>
      <c r="AIX1223" s="4"/>
      <c r="AIY1223" s="4"/>
      <c r="AIZ1223" s="18"/>
      <c r="AJA1223" s="3"/>
      <c r="AJB1223" s="4"/>
      <c r="AJC1223" s="4"/>
      <c r="AJD1223" s="18"/>
      <c r="AJE1223" s="3"/>
      <c r="AJF1223" s="4"/>
      <c r="AJG1223" s="4"/>
      <c r="AJH1223" s="18"/>
      <c r="AJI1223" s="3"/>
      <c r="AJJ1223" s="4"/>
      <c r="AJK1223" s="4"/>
      <c r="AJL1223" s="18"/>
      <c r="AJM1223" s="3"/>
      <c r="AJN1223" s="4"/>
      <c r="AJO1223" s="4"/>
      <c r="AJP1223" s="18"/>
      <c r="AJQ1223" s="3"/>
      <c r="AJR1223" s="4"/>
      <c r="AJS1223" s="4"/>
      <c r="AJT1223" s="18"/>
      <c r="AJU1223" s="3"/>
      <c r="AJV1223" s="4"/>
      <c r="AJW1223" s="4"/>
      <c r="AJX1223" s="18"/>
      <c r="AJY1223" s="3"/>
      <c r="AJZ1223" s="4"/>
      <c r="AKA1223" s="4"/>
      <c r="AKB1223" s="18"/>
      <c r="AKC1223" s="3"/>
      <c r="AKD1223" s="4"/>
      <c r="AKE1223" s="4"/>
      <c r="AKF1223" s="18"/>
      <c r="AKG1223" s="3"/>
      <c r="AKH1223" s="4"/>
      <c r="AKI1223" s="4"/>
      <c r="AKJ1223" s="18"/>
      <c r="AKK1223" s="3"/>
      <c r="AKL1223" s="4"/>
      <c r="AKM1223" s="4"/>
      <c r="AKN1223" s="18"/>
      <c r="AKO1223" s="3"/>
      <c r="AKP1223" s="4"/>
      <c r="AKQ1223" s="4"/>
      <c r="AKR1223" s="18"/>
      <c r="AKS1223" s="3"/>
      <c r="AKT1223" s="4"/>
      <c r="AKU1223" s="4"/>
      <c r="AKV1223" s="18"/>
      <c r="AKW1223" s="3"/>
      <c r="AKX1223" s="4"/>
      <c r="AKY1223" s="4"/>
      <c r="AKZ1223" s="18"/>
      <c r="ALA1223" s="3"/>
      <c r="ALB1223" s="4"/>
      <c r="ALC1223" s="4"/>
      <c r="ALD1223" s="18"/>
      <c r="ALE1223" s="3"/>
      <c r="ALF1223" s="4"/>
      <c r="ALG1223" s="4"/>
      <c r="ALH1223" s="18"/>
      <c r="ALI1223" s="3"/>
      <c r="ALJ1223" s="4"/>
      <c r="ALK1223" s="4"/>
      <c r="ALL1223" s="18"/>
      <c r="ALM1223" s="3"/>
      <c r="ALN1223" s="4"/>
      <c r="ALO1223" s="4"/>
      <c r="ALP1223" s="18"/>
      <c r="ALQ1223" s="3"/>
      <c r="ALR1223" s="4"/>
      <c r="ALS1223" s="4"/>
      <c r="ALT1223" s="18"/>
      <c r="ALU1223" s="3"/>
      <c r="ALV1223" s="4"/>
      <c r="ALW1223" s="4"/>
      <c r="ALX1223" s="18"/>
      <c r="ALY1223" s="3"/>
      <c r="ALZ1223" s="4"/>
      <c r="AMA1223" s="4"/>
      <c r="AMB1223" s="18"/>
      <c r="AMC1223" s="3"/>
      <c r="AMD1223" s="4"/>
      <c r="AME1223" s="4"/>
      <c r="AMF1223" s="18"/>
      <c r="AMG1223" s="3"/>
      <c r="AMH1223" s="4"/>
      <c r="AMI1223" s="4"/>
      <c r="AMJ1223" s="18"/>
      <c r="AMK1223" s="3"/>
      <c r="AML1223" s="4"/>
      <c r="AMM1223" s="4"/>
      <c r="AMN1223" s="18"/>
      <c r="AMO1223" s="3"/>
      <c r="AMP1223" s="4"/>
      <c r="AMQ1223" s="4"/>
      <c r="AMR1223" s="18"/>
      <c r="AMS1223" s="3"/>
      <c r="AMT1223" s="4"/>
      <c r="AMU1223" s="4"/>
      <c r="AMV1223" s="18"/>
      <c r="AMW1223" s="3"/>
      <c r="AMX1223" s="4"/>
      <c r="AMY1223" s="4"/>
      <c r="AMZ1223" s="18"/>
      <c r="ANA1223" s="3"/>
      <c r="ANB1223" s="4"/>
      <c r="ANC1223" s="4"/>
      <c r="AND1223" s="18"/>
      <c r="ANE1223" s="3"/>
      <c r="ANF1223" s="4"/>
      <c r="ANG1223" s="4"/>
      <c r="ANH1223" s="18"/>
      <c r="ANI1223" s="3"/>
      <c r="ANJ1223" s="4"/>
      <c r="ANK1223" s="4"/>
      <c r="ANL1223" s="18"/>
      <c r="ANM1223" s="3"/>
      <c r="ANN1223" s="4"/>
      <c r="ANO1223" s="4"/>
      <c r="ANP1223" s="18"/>
      <c r="ANQ1223" s="3"/>
      <c r="ANR1223" s="4"/>
      <c r="ANS1223" s="4"/>
      <c r="ANT1223" s="18"/>
      <c r="ANU1223" s="3"/>
      <c r="ANV1223" s="4"/>
      <c r="ANW1223" s="4"/>
      <c r="ANX1223" s="18"/>
      <c r="ANY1223" s="3"/>
      <c r="ANZ1223" s="4"/>
      <c r="AOA1223" s="4"/>
      <c r="AOB1223" s="18"/>
      <c r="AOC1223" s="3"/>
      <c r="AOD1223" s="4"/>
      <c r="AOE1223" s="4"/>
      <c r="AOF1223" s="18"/>
      <c r="AOG1223" s="3"/>
      <c r="AOH1223" s="4"/>
      <c r="AOI1223" s="4"/>
      <c r="AOJ1223" s="18"/>
      <c r="AOK1223" s="3"/>
      <c r="AOL1223" s="4"/>
      <c r="AOM1223" s="4"/>
      <c r="AON1223" s="18"/>
      <c r="AOO1223" s="3"/>
      <c r="AOP1223" s="4"/>
      <c r="AOQ1223" s="4"/>
      <c r="AOR1223" s="18"/>
      <c r="AOS1223" s="3"/>
      <c r="AOT1223" s="4"/>
      <c r="AOU1223" s="4"/>
      <c r="AOV1223" s="18"/>
      <c r="AOW1223" s="3"/>
      <c r="AOX1223" s="4"/>
      <c r="AOY1223" s="4"/>
      <c r="AOZ1223" s="18"/>
      <c r="APA1223" s="3"/>
      <c r="APB1223" s="4"/>
      <c r="APC1223" s="4"/>
      <c r="APD1223" s="18"/>
      <c r="APE1223" s="3"/>
      <c r="APF1223" s="4"/>
      <c r="APG1223" s="4"/>
      <c r="APH1223" s="18"/>
      <c r="API1223" s="3"/>
      <c r="APJ1223" s="4"/>
      <c r="APK1223" s="4"/>
      <c r="APL1223" s="18"/>
      <c r="APM1223" s="3"/>
      <c r="APN1223" s="4"/>
      <c r="APO1223" s="4"/>
      <c r="APP1223" s="18"/>
      <c r="APQ1223" s="3"/>
      <c r="APR1223" s="4"/>
      <c r="APS1223" s="4"/>
      <c r="APT1223" s="18"/>
      <c r="APU1223" s="3"/>
      <c r="APV1223" s="4"/>
      <c r="APW1223" s="4"/>
      <c r="APX1223" s="18"/>
      <c r="APY1223" s="3"/>
      <c r="APZ1223" s="4"/>
      <c r="AQA1223" s="4"/>
      <c r="AQB1223" s="18"/>
      <c r="AQC1223" s="3"/>
      <c r="AQD1223" s="4"/>
      <c r="AQE1223" s="4"/>
      <c r="AQF1223" s="18"/>
      <c r="AQG1223" s="3"/>
      <c r="AQH1223" s="4"/>
      <c r="AQI1223" s="4"/>
      <c r="AQJ1223" s="18"/>
      <c r="AQK1223" s="3"/>
      <c r="AQL1223" s="4"/>
      <c r="AQM1223" s="4"/>
      <c r="AQN1223" s="18"/>
      <c r="AQO1223" s="3"/>
      <c r="AQP1223" s="4"/>
      <c r="AQQ1223" s="4"/>
      <c r="AQR1223" s="18"/>
      <c r="AQS1223" s="3"/>
      <c r="AQT1223" s="4"/>
      <c r="AQU1223" s="4"/>
      <c r="AQV1223" s="18"/>
      <c r="AQW1223" s="3"/>
      <c r="AQX1223" s="4"/>
      <c r="AQY1223" s="4"/>
      <c r="AQZ1223" s="18"/>
      <c r="ARA1223" s="3"/>
      <c r="ARB1223" s="4"/>
      <c r="ARC1223" s="4"/>
      <c r="ARD1223" s="18"/>
      <c r="ARE1223" s="3"/>
      <c r="ARF1223" s="4"/>
      <c r="ARG1223" s="4"/>
      <c r="ARH1223" s="18"/>
      <c r="ARI1223" s="3"/>
      <c r="ARJ1223" s="4"/>
      <c r="ARK1223" s="4"/>
      <c r="ARL1223" s="18"/>
      <c r="ARM1223" s="3"/>
      <c r="ARN1223" s="4"/>
      <c r="ARO1223" s="4"/>
      <c r="ARP1223" s="18"/>
      <c r="ARQ1223" s="3"/>
      <c r="ARR1223" s="4"/>
      <c r="ARS1223" s="4"/>
      <c r="ART1223" s="18"/>
      <c r="ARU1223" s="3"/>
      <c r="ARV1223" s="4"/>
      <c r="ARW1223" s="4"/>
      <c r="ARX1223" s="18"/>
      <c r="ARY1223" s="3"/>
      <c r="ARZ1223" s="4"/>
      <c r="ASA1223" s="4"/>
      <c r="ASB1223" s="18"/>
      <c r="ASC1223" s="3"/>
      <c r="ASD1223" s="4"/>
      <c r="ASE1223" s="4"/>
      <c r="ASF1223" s="18"/>
      <c r="ASG1223" s="3"/>
      <c r="ASH1223" s="4"/>
      <c r="ASI1223" s="4"/>
      <c r="ASJ1223" s="18"/>
      <c r="ASK1223" s="3"/>
      <c r="ASL1223" s="4"/>
      <c r="ASM1223" s="4"/>
      <c r="ASN1223" s="18"/>
      <c r="ASO1223" s="3"/>
      <c r="ASP1223" s="4"/>
      <c r="ASQ1223" s="4"/>
      <c r="ASR1223" s="18"/>
      <c r="ASS1223" s="3"/>
      <c r="AST1223" s="4"/>
      <c r="ASU1223" s="4"/>
      <c r="ASV1223" s="18"/>
      <c r="ASW1223" s="3"/>
      <c r="ASX1223" s="4"/>
      <c r="ASY1223" s="4"/>
      <c r="ASZ1223" s="18"/>
      <c r="ATA1223" s="3"/>
      <c r="ATB1223" s="4"/>
      <c r="ATC1223" s="4"/>
      <c r="ATD1223" s="18"/>
      <c r="ATE1223" s="3"/>
      <c r="ATF1223" s="4"/>
      <c r="ATG1223" s="4"/>
      <c r="ATH1223" s="18"/>
      <c r="ATI1223" s="3"/>
      <c r="ATJ1223" s="4"/>
      <c r="ATK1223" s="4"/>
      <c r="ATL1223" s="18"/>
      <c r="ATM1223" s="3"/>
      <c r="ATN1223" s="4"/>
      <c r="ATO1223" s="4"/>
      <c r="ATP1223" s="18"/>
      <c r="ATQ1223" s="3"/>
      <c r="ATR1223" s="4"/>
      <c r="ATS1223" s="4"/>
      <c r="ATT1223" s="18"/>
      <c r="ATU1223" s="3"/>
      <c r="ATV1223" s="4"/>
      <c r="ATW1223" s="4"/>
      <c r="ATX1223" s="18"/>
      <c r="ATY1223" s="3"/>
      <c r="ATZ1223" s="4"/>
      <c r="AUA1223" s="4"/>
      <c r="AUB1223" s="18"/>
      <c r="AUC1223" s="3"/>
      <c r="AUD1223" s="4"/>
      <c r="AUE1223" s="4"/>
      <c r="AUF1223" s="18"/>
      <c r="AUG1223" s="3"/>
      <c r="AUH1223" s="4"/>
      <c r="AUI1223" s="4"/>
      <c r="AUJ1223" s="18"/>
      <c r="AUK1223" s="3"/>
      <c r="AUL1223" s="4"/>
      <c r="AUM1223" s="4"/>
      <c r="AUN1223" s="18"/>
      <c r="AUO1223" s="3"/>
      <c r="AUP1223" s="4"/>
      <c r="AUQ1223" s="4"/>
      <c r="AUR1223" s="18"/>
      <c r="AUS1223" s="3"/>
      <c r="AUT1223" s="4"/>
      <c r="AUU1223" s="4"/>
      <c r="AUV1223" s="18"/>
      <c r="AUW1223" s="3"/>
      <c r="AUX1223" s="4"/>
      <c r="AUY1223" s="4"/>
      <c r="AUZ1223" s="18"/>
      <c r="AVA1223" s="3"/>
      <c r="AVB1223" s="4"/>
      <c r="AVC1223" s="4"/>
      <c r="AVD1223" s="18"/>
      <c r="AVE1223" s="3"/>
      <c r="AVF1223" s="4"/>
      <c r="AVG1223" s="4"/>
      <c r="AVH1223" s="18"/>
      <c r="AVI1223" s="3"/>
      <c r="AVJ1223" s="4"/>
      <c r="AVK1223" s="4"/>
      <c r="AVL1223" s="18"/>
      <c r="AVM1223" s="3"/>
      <c r="AVN1223" s="4"/>
      <c r="AVO1223" s="4"/>
      <c r="AVP1223" s="18"/>
      <c r="AVQ1223" s="3"/>
      <c r="AVR1223" s="4"/>
      <c r="AVS1223" s="4"/>
      <c r="AVT1223" s="18"/>
      <c r="AVU1223" s="3"/>
      <c r="AVV1223" s="4"/>
      <c r="AVW1223" s="4"/>
      <c r="AVX1223" s="18"/>
      <c r="AVY1223" s="3"/>
      <c r="AVZ1223" s="4"/>
      <c r="AWA1223" s="4"/>
      <c r="AWB1223" s="18"/>
      <c r="AWC1223" s="3"/>
      <c r="AWD1223" s="4"/>
      <c r="AWE1223" s="4"/>
      <c r="AWF1223" s="18"/>
      <c r="AWG1223" s="3"/>
      <c r="AWH1223" s="4"/>
      <c r="AWI1223" s="4"/>
      <c r="AWJ1223" s="18"/>
      <c r="AWK1223" s="3"/>
      <c r="AWL1223" s="4"/>
      <c r="AWM1223" s="4"/>
      <c r="AWN1223" s="18"/>
      <c r="AWO1223" s="3"/>
      <c r="AWP1223" s="4"/>
      <c r="AWQ1223" s="4"/>
      <c r="AWR1223" s="18"/>
      <c r="AWS1223" s="3"/>
      <c r="AWT1223" s="4"/>
      <c r="AWU1223" s="4"/>
      <c r="AWV1223" s="18"/>
      <c r="AWW1223" s="3"/>
      <c r="AWX1223" s="4"/>
      <c r="AWY1223" s="4"/>
      <c r="AWZ1223" s="18"/>
      <c r="AXA1223" s="3"/>
      <c r="AXB1223" s="4"/>
      <c r="AXC1223" s="4"/>
      <c r="AXD1223" s="18"/>
      <c r="AXE1223" s="3"/>
      <c r="AXF1223" s="4"/>
      <c r="AXG1223" s="4"/>
      <c r="AXH1223" s="18"/>
      <c r="AXI1223" s="3"/>
      <c r="AXJ1223" s="4"/>
      <c r="AXK1223" s="4"/>
      <c r="AXL1223" s="18"/>
      <c r="AXM1223" s="3"/>
      <c r="AXN1223" s="4"/>
      <c r="AXO1223" s="4"/>
      <c r="AXP1223" s="18"/>
      <c r="AXQ1223" s="3"/>
      <c r="AXR1223" s="4"/>
      <c r="AXS1223" s="4"/>
      <c r="AXT1223" s="18"/>
      <c r="AXU1223" s="3"/>
      <c r="AXV1223" s="4"/>
      <c r="AXW1223" s="4"/>
      <c r="AXX1223" s="18"/>
      <c r="AXY1223" s="3"/>
      <c r="AXZ1223" s="4"/>
      <c r="AYA1223" s="4"/>
      <c r="AYB1223" s="18"/>
      <c r="AYC1223" s="3"/>
      <c r="AYD1223" s="4"/>
      <c r="AYE1223" s="4"/>
      <c r="AYF1223" s="18"/>
      <c r="AYG1223" s="3"/>
      <c r="AYH1223" s="4"/>
      <c r="AYI1223" s="4"/>
      <c r="AYJ1223" s="18"/>
      <c r="AYK1223" s="3"/>
      <c r="AYL1223" s="4"/>
      <c r="AYM1223" s="4"/>
      <c r="AYN1223" s="18"/>
      <c r="AYO1223" s="3"/>
      <c r="AYP1223" s="4"/>
      <c r="AYQ1223" s="4"/>
      <c r="AYR1223" s="18"/>
      <c r="AYS1223" s="3"/>
      <c r="AYT1223" s="4"/>
      <c r="AYU1223" s="4"/>
      <c r="AYV1223" s="18"/>
      <c r="AYW1223" s="3"/>
      <c r="AYX1223" s="4"/>
      <c r="AYY1223" s="4"/>
      <c r="AYZ1223" s="18"/>
      <c r="AZA1223" s="3"/>
      <c r="AZB1223" s="4"/>
      <c r="AZC1223" s="4"/>
      <c r="AZD1223" s="18"/>
      <c r="AZE1223" s="3"/>
      <c r="AZF1223" s="4"/>
      <c r="AZG1223" s="4"/>
      <c r="AZH1223" s="18"/>
      <c r="AZI1223" s="3"/>
      <c r="AZJ1223" s="4"/>
      <c r="AZK1223" s="4"/>
      <c r="AZL1223" s="18"/>
      <c r="AZM1223" s="3"/>
      <c r="AZN1223" s="4"/>
      <c r="AZO1223" s="4"/>
      <c r="AZP1223" s="18"/>
      <c r="AZQ1223" s="3"/>
      <c r="AZR1223" s="4"/>
      <c r="AZS1223" s="4"/>
      <c r="AZT1223" s="18"/>
      <c r="AZU1223" s="3"/>
      <c r="AZV1223" s="4"/>
      <c r="AZW1223" s="4"/>
      <c r="AZX1223" s="18"/>
      <c r="AZY1223" s="3"/>
      <c r="AZZ1223" s="4"/>
      <c r="BAA1223" s="4"/>
      <c r="BAB1223" s="18"/>
      <c r="BAC1223" s="3"/>
      <c r="BAD1223" s="4"/>
      <c r="BAE1223" s="4"/>
      <c r="BAF1223" s="18"/>
      <c r="BAG1223" s="3"/>
      <c r="BAH1223" s="4"/>
      <c r="BAI1223" s="4"/>
      <c r="BAJ1223" s="18"/>
      <c r="BAK1223" s="3"/>
      <c r="BAL1223" s="4"/>
      <c r="BAM1223" s="4"/>
      <c r="BAN1223" s="18"/>
      <c r="BAO1223" s="3"/>
      <c r="BAP1223" s="4"/>
      <c r="BAQ1223" s="4"/>
      <c r="BAR1223" s="18"/>
      <c r="BAS1223" s="3"/>
      <c r="BAT1223" s="4"/>
      <c r="BAU1223" s="4"/>
      <c r="BAV1223" s="18"/>
      <c r="BAW1223" s="3"/>
      <c r="BAX1223" s="4"/>
      <c r="BAY1223" s="4"/>
      <c r="BAZ1223" s="18"/>
      <c r="BBA1223" s="3"/>
      <c r="BBB1223" s="4"/>
      <c r="BBC1223" s="4"/>
      <c r="BBD1223" s="18"/>
      <c r="BBE1223" s="3"/>
      <c r="BBF1223" s="4"/>
      <c r="BBG1223" s="4"/>
      <c r="BBH1223" s="18"/>
      <c r="BBI1223" s="3"/>
      <c r="BBJ1223" s="4"/>
      <c r="BBK1223" s="4"/>
      <c r="BBL1223" s="18"/>
      <c r="BBM1223" s="3"/>
      <c r="BBN1223" s="4"/>
      <c r="BBO1223" s="4"/>
      <c r="BBP1223" s="18"/>
      <c r="BBQ1223" s="3"/>
      <c r="BBR1223" s="4"/>
      <c r="BBS1223" s="4"/>
      <c r="BBT1223" s="18"/>
      <c r="BBU1223" s="3"/>
      <c r="BBV1223" s="4"/>
      <c r="BBW1223" s="4"/>
      <c r="BBX1223" s="18"/>
      <c r="BBY1223" s="3"/>
      <c r="BBZ1223" s="4"/>
      <c r="BCA1223" s="4"/>
      <c r="BCB1223" s="18"/>
      <c r="BCC1223" s="3"/>
      <c r="BCD1223" s="4"/>
      <c r="BCE1223" s="4"/>
      <c r="BCF1223" s="18"/>
      <c r="BCG1223" s="3"/>
      <c r="BCH1223" s="4"/>
      <c r="BCI1223" s="4"/>
      <c r="BCJ1223" s="18"/>
      <c r="BCK1223" s="3"/>
      <c r="BCL1223" s="4"/>
      <c r="BCM1223" s="4"/>
      <c r="BCN1223" s="18"/>
      <c r="BCO1223" s="3"/>
      <c r="BCP1223" s="4"/>
      <c r="BCQ1223" s="4"/>
      <c r="BCR1223" s="18"/>
      <c r="BCS1223" s="3"/>
      <c r="BCT1223" s="4"/>
      <c r="BCU1223" s="4"/>
      <c r="BCV1223" s="18"/>
      <c r="BCW1223" s="3"/>
      <c r="BCX1223" s="4"/>
      <c r="BCY1223" s="4"/>
      <c r="BCZ1223" s="18"/>
      <c r="BDA1223" s="3"/>
      <c r="BDB1223" s="4"/>
      <c r="BDC1223" s="4"/>
      <c r="BDD1223" s="18"/>
      <c r="BDE1223" s="3"/>
      <c r="BDF1223" s="4"/>
      <c r="BDG1223" s="4"/>
      <c r="BDH1223" s="18"/>
      <c r="BDI1223" s="3"/>
      <c r="BDJ1223" s="4"/>
      <c r="BDK1223" s="4"/>
      <c r="BDL1223" s="18"/>
      <c r="BDM1223" s="3"/>
      <c r="BDN1223" s="4"/>
      <c r="BDO1223" s="4"/>
      <c r="BDP1223" s="18"/>
      <c r="BDQ1223" s="3"/>
      <c r="BDR1223" s="4"/>
      <c r="BDS1223" s="4"/>
      <c r="BDT1223" s="18"/>
      <c r="BDU1223" s="3"/>
      <c r="BDV1223" s="4"/>
      <c r="BDW1223" s="4"/>
      <c r="BDX1223" s="18"/>
      <c r="BDY1223" s="3"/>
      <c r="BDZ1223" s="4"/>
      <c r="BEA1223" s="4"/>
      <c r="BEB1223" s="18"/>
      <c r="BEC1223" s="3"/>
      <c r="BED1223" s="4"/>
      <c r="BEE1223" s="4"/>
      <c r="BEF1223" s="18"/>
      <c r="BEG1223" s="3"/>
      <c r="BEH1223" s="4"/>
      <c r="BEI1223" s="4"/>
      <c r="BEJ1223" s="18"/>
      <c r="BEK1223" s="3"/>
      <c r="BEL1223" s="4"/>
      <c r="BEM1223" s="4"/>
      <c r="BEN1223" s="18"/>
      <c r="BEO1223" s="3"/>
      <c r="BEP1223" s="4"/>
      <c r="BEQ1223" s="4"/>
      <c r="BER1223" s="18"/>
      <c r="BES1223" s="3"/>
      <c r="BET1223" s="4"/>
      <c r="BEU1223" s="4"/>
      <c r="BEV1223" s="18"/>
      <c r="BEW1223" s="3"/>
      <c r="BEX1223" s="4"/>
      <c r="BEY1223" s="4"/>
      <c r="BEZ1223" s="18"/>
      <c r="BFA1223" s="3"/>
      <c r="BFB1223" s="4"/>
      <c r="BFC1223" s="4"/>
      <c r="BFD1223" s="18"/>
      <c r="BFE1223" s="3"/>
      <c r="BFF1223" s="4"/>
      <c r="BFG1223" s="4"/>
      <c r="BFH1223" s="18"/>
      <c r="BFI1223" s="3"/>
      <c r="BFJ1223" s="4"/>
      <c r="BFK1223" s="4"/>
      <c r="BFL1223" s="18"/>
      <c r="BFM1223" s="3"/>
      <c r="BFN1223" s="4"/>
      <c r="BFO1223" s="4"/>
      <c r="BFP1223" s="18"/>
      <c r="BFQ1223" s="3"/>
      <c r="BFR1223" s="4"/>
      <c r="BFS1223" s="4"/>
      <c r="BFT1223" s="18"/>
      <c r="BFU1223" s="3"/>
      <c r="BFV1223" s="4"/>
      <c r="BFW1223" s="4"/>
      <c r="BFX1223" s="18"/>
      <c r="BFY1223" s="3"/>
      <c r="BFZ1223" s="4"/>
      <c r="BGA1223" s="4"/>
      <c r="BGB1223" s="18"/>
      <c r="BGC1223" s="3"/>
      <c r="BGD1223" s="4"/>
      <c r="BGE1223" s="4"/>
      <c r="BGF1223" s="18"/>
      <c r="BGG1223" s="3"/>
      <c r="BGH1223" s="4"/>
      <c r="BGI1223" s="4"/>
      <c r="BGJ1223" s="18"/>
      <c r="BGK1223" s="3"/>
      <c r="BGL1223" s="4"/>
      <c r="BGM1223" s="4"/>
      <c r="BGN1223" s="18"/>
      <c r="BGO1223" s="3"/>
      <c r="BGP1223" s="4"/>
      <c r="BGQ1223" s="4"/>
      <c r="BGR1223" s="18"/>
      <c r="BGS1223" s="3"/>
      <c r="BGT1223" s="4"/>
      <c r="BGU1223" s="4"/>
      <c r="BGV1223" s="18"/>
      <c r="BGW1223" s="3"/>
      <c r="BGX1223" s="4"/>
      <c r="BGY1223" s="4"/>
      <c r="BGZ1223" s="18"/>
      <c r="BHA1223" s="3"/>
      <c r="BHB1223" s="4"/>
      <c r="BHC1223" s="4"/>
      <c r="BHD1223" s="18"/>
      <c r="BHE1223" s="3"/>
      <c r="BHF1223" s="4"/>
      <c r="BHG1223" s="4"/>
      <c r="BHH1223" s="18"/>
      <c r="BHI1223" s="3"/>
      <c r="BHJ1223" s="4"/>
      <c r="BHK1223" s="4"/>
      <c r="BHL1223" s="18"/>
      <c r="BHM1223" s="3"/>
      <c r="BHN1223" s="4"/>
      <c r="BHO1223" s="4"/>
      <c r="BHP1223" s="18"/>
      <c r="BHQ1223" s="3"/>
      <c r="BHR1223" s="4"/>
      <c r="BHS1223" s="4"/>
      <c r="BHT1223" s="18"/>
      <c r="BHU1223" s="3"/>
      <c r="BHV1223" s="4"/>
      <c r="BHW1223" s="4"/>
      <c r="BHX1223" s="18"/>
      <c r="BHY1223" s="3"/>
      <c r="BHZ1223" s="4"/>
      <c r="BIA1223" s="4"/>
      <c r="BIB1223" s="18"/>
      <c r="BIC1223" s="3"/>
      <c r="BID1223" s="4"/>
      <c r="BIE1223" s="4"/>
      <c r="BIF1223" s="18"/>
      <c r="BIG1223" s="3"/>
      <c r="BIH1223" s="4"/>
      <c r="BII1223" s="4"/>
      <c r="BIJ1223" s="18"/>
      <c r="BIK1223" s="3"/>
      <c r="BIL1223" s="4"/>
      <c r="BIM1223" s="4"/>
      <c r="BIN1223" s="18"/>
      <c r="BIO1223" s="3"/>
      <c r="BIP1223" s="4"/>
      <c r="BIQ1223" s="4"/>
      <c r="BIR1223" s="18"/>
      <c r="BIS1223" s="3"/>
      <c r="BIT1223" s="4"/>
      <c r="BIU1223" s="4"/>
      <c r="BIV1223" s="18"/>
      <c r="BIW1223" s="3"/>
      <c r="BIX1223" s="4"/>
      <c r="BIY1223" s="4"/>
      <c r="BIZ1223" s="18"/>
      <c r="BJA1223" s="3"/>
      <c r="BJB1223" s="4"/>
      <c r="BJC1223" s="4"/>
      <c r="BJD1223" s="18"/>
      <c r="BJE1223" s="3"/>
      <c r="BJF1223" s="4"/>
      <c r="BJG1223" s="4"/>
      <c r="BJH1223" s="18"/>
      <c r="BJI1223" s="3"/>
      <c r="BJJ1223" s="4"/>
      <c r="BJK1223" s="4"/>
      <c r="BJL1223" s="18"/>
      <c r="BJM1223" s="3"/>
      <c r="BJN1223" s="4"/>
      <c r="BJO1223" s="4"/>
      <c r="BJP1223" s="18"/>
      <c r="BJQ1223" s="3"/>
      <c r="BJR1223" s="4"/>
      <c r="BJS1223" s="4"/>
      <c r="BJT1223" s="18"/>
      <c r="BJU1223" s="3"/>
      <c r="BJV1223" s="4"/>
      <c r="BJW1223" s="4"/>
      <c r="BJX1223" s="18"/>
      <c r="BJY1223" s="3"/>
      <c r="BJZ1223" s="4"/>
      <c r="BKA1223" s="4"/>
      <c r="BKB1223" s="18"/>
      <c r="BKC1223" s="3"/>
      <c r="BKD1223" s="4"/>
      <c r="BKE1223" s="4"/>
      <c r="BKF1223" s="18"/>
      <c r="BKG1223" s="3"/>
      <c r="BKH1223" s="4"/>
      <c r="BKI1223" s="4"/>
      <c r="BKJ1223" s="18"/>
      <c r="BKK1223" s="3"/>
      <c r="BKL1223" s="4"/>
      <c r="BKM1223" s="4"/>
      <c r="BKN1223" s="18"/>
      <c r="BKO1223" s="3"/>
      <c r="BKP1223" s="4"/>
      <c r="BKQ1223" s="4"/>
      <c r="BKR1223" s="18"/>
      <c r="BKS1223" s="3"/>
      <c r="BKT1223" s="4"/>
      <c r="BKU1223" s="4"/>
      <c r="BKV1223" s="18"/>
      <c r="BKW1223" s="3"/>
      <c r="BKX1223" s="4"/>
      <c r="BKY1223" s="4"/>
      <c r="BKZ1223" s="18"/>
      <c r="BLA1223" s="3"/>
      <c r="BLB1223" s="4"/>
      <c r="BLC1223" s="4"/>
      <c r="BLD1223" s="18"/>
      <c r="BLE1223" s="3"/>
      <c r="BLF1223" s="4"/>
      <c r="BLG1223" s="4"/>
      <c r="BLH1223" s="18"/>
      <c r="BLI1223" s="3"/>
      <c r="BLJ1223" s="4"/>
      <c r="BLK1223" s="4"/>
      <c r="BLL1223" s="18"/>
      <c r="BLM1223" s="3"/>
      <c r="BLN1223" s="4"/>
      <c r="BLO1223" s="4"/>
      <c r="BLP1223" s="18"/>
      <c r="BLQ1223" s="3"/>
      <c r="BLR1223" s="4"/>
      <c r="BLS1223" s="4"/>
      <c r="BLT1223" s="18"/>
      <c r="BLU1223" s="3"/>
      <c r="BLV1223" s="4"/>
      <c r="BLW1223" s="4"/>
      <c r="BLX1223" s="18"/>
      <c r="BLY1223" s="3"/>
      <c r="BLZ1223" s="4"/>
      <c r="BMA1223" s="4"/>
      <c r="BMB1223" s="18"/>
      <c r="BMC1223" s="3"/>
      <c r="BMD1223" s="4"/>
      <c r="BME1223" s="4"/>
      <c r="BMF1223" s="18"/>
      <c r="BMG1223" s="3"/>
      <c r="BMH1223" s="4"/>
      <c r="BMI1223" s="4"/>
      <c r="BMJ1223" s="18"/>
      <c r="BMK1223" s="3"/>
      <c r="BML1223" s="4"/>
      <c r="BMM1223" s="4"/>
      <c r="BMN1223" s="18"/>
      <c r="BMO1223" s="3"/>
      <c r="BMP1223" s="4"/>
      <c r="BMQ1223" s="4"/>
      <c r="BMR1223" s="18"/>
      <c r="BMS1223" s="3"/>
      <c r="BMT1223" s="4"/>
      <c r="BMU1223" s="4"/>
      <c r="BMV1223" s="18"/>
      <c r="BMW1223" s="3"/>
      <c r="BMX1223" s="4"/>
      <c r="BMY1223" s="4"/>
      <c r="BMZ1223" s="18"/>
      <c r="BNA1223" s="3"/>
      <c r="BNB1223" s="4"/>
      <c r="BNC1223" s="4"/>
      <c r="BND1223" s="18"/>
      <c r="BNE1223" s="3"/>
      <c r="BNF1223" s="4"/>
      <c r="BNG1223" s="4"/>
      <c r="BNH1223" s="18"/>
      <c r="BNI1223" s="3"/>
      <c r="BNJ1223" s="4"/>
      <c r="BNK1223" s="4"/>
      <c r="BNL1223" s="18"/>
      <c r="BNM1223" s="3"/>
      <c r="BNN1223" s="4"/>
      <c r="BNO1223" s="4"/>
      <c r="BNP1223" s="18"/>
      <c r="BNQ1223" s="3"/>
      <c r="BNR1223" s="4"/>
      <c r="BNS1223" s="4"/>
      <c r="BNT1223" s="18"/>
      <c r="BNU1223" s="3"/>
      <c r="BNV1223" s="4"/>
      <c r="BNW1223" s="4"/>
      <c r="BNX1223" s="18"/>
      <c r="BNY1223" s="3"/>
      <c r="BNZ1223" s="4"/>
      <c r="BOA1223" s="4"/>
      <c r="BOB1223" s="18"/>
      <c r="BOC1223" s="3"/>
      <c r="BOD1223" s="4"/>
      <c r="BOE1223" s="4"/>
      <c r="BOF1223" s="18"/>
      <c r="BOG1223" s="3"/>
      <c r="BOH1223" s="4"/>
      <c r="BOI1223" s="4"/>
      <c r="BOJ1223" s="18"/>
      <c r="BOK1223" s="3"/>
      <c r="BOL1223" s="4"/>
      <c r="BOM1223" s="4"/>
      <c r="BON1223" s="18"/>
      <c r="BOO1223" s="3"/>
      <c r="BOP1223" s="4"/>
      <c r="BOQ1223" s="4"/>
      <c r="BOR1223" s="18"/>
      <c r="BOS1223" s="3"/>
      <c r="BOT1223" s="4"/>
      <c r="BOU1223" s="4"/>
      <c r="BOV1223" s="18"/>
      <c r="BOW1223" s="3"/>
      <c r="BOX1223" s="4"/>
      <c r="BOY1223" s="4"/>
      <c r="BOZ1223" s="18"/>
      <c r="BPA1223" s="3"/>
      <c r="BPB1223" s="4"/>
      <c r="BPC1223" s="4"/>
      <c r="BPD1223" s="18"/>
      <c r="BPE1223" s="3"/>
      <c r="BPF1223" s="4"/>
      <c r="BPG1223" s="4"/>
      <c r="BPH1223" s="18"/>
      <c r="BPI1223" s="3"/>
      <c r="BPJ1223" s="4"/>
      <c r="BPK1223" s="4"/>
      <c r="BPL1223" s="18"/>
      <c r="BPM1223" s="3"/>
      <c r="BPN1223" s="4"/>
      <c r="BPO1223" s="4"/>
      <c r="BPP1223" s="18"/>
      <c r="BPQ1223" s="3"/>
      <c r="BPR1223" s="4"/>
      <c r="BPS1223" s="4"/>
      <c r="BPT1223" s="18"/>
      <c r="BPU1223" s="3"/>
      <c r="BPV1223" s="4"/>
      <c r="BPW1223" s="4"/>
      <c r="BPX1223" s="18"/>
      <c r="BPY1223" s="3"/>
      <c r="BPZ1223" s="4"/>
      <c r="BQA1223" s="4"/>
      <c r="BQB1223" s="18"/>
      <c r="BQC1223" s="3"/>
      <c r="BQD1223" s="4"/>
      <c r="BQE1223" s="4"/>
      <c r="BQF1223" s="18"/>
      <c r="BQG1223" s="3"/>
      <c r="BQH1223" s="4"/>
      <c r="BQI1223" s="4"/>
      <c r="BQJ1223" s="18"/>
      <c r="BQK1223" s="3"/>
      <c r="BQL1223" s="4"/>
      <c r="BQM1223" s="4"/>
      <c r="BQN1223" s="18"/>
      <c r="BQO1223" s="3"/>
      <c r="BQP1223" s="4"/>
      <c r="BQQ1223" s="4"/>
      <c r="BQR1223" s="18"/>
      <c r="BQS1223" s="3"/>
      <c r="BQT1223" s="4"/>
      <c r="BQU1223" s="4"/>
      <c r="BQV1223" s="18"/>
      <c r="BQW1223" s="3"/>
      <c r="BQX1223" s="4"/>
      <c r="BQY1223" s="4"/>
      <c r="BQZ1223" s="18"/>
      <c r="BRA1223" s="3"/>
      <c r="BRB1223" s="4"/>
      <c r="BRC1223" s="4"/>
      <c r="BRD1223" s="18"/>
      <c r="BRE1223" s="3"/>
      <c r="BRF1223" s="4"/>
      <c r="BRG1223" s="4"/>
      <c r="BRH1223" s="18"/>
      <c r="BRI1223" s="3"/>
      <c r="BRJ1223" s="4"/>
      <c r="BRK1223" s="4"/>
      <c r="BRL1223" s="18"/>
      <c r="BRM1223" s="3"/>
      <c r="BRN1223" s="4"/>
      <c r="BRO1223" s="4"/>
      <c r="BRP1223" s="18"/>
      <c r="BRQ1223" s="3"/>
      <c r="BRR1223" s="4"/>
      <c r="BRS1223" s="4"/>
      <c r="BRT1223" s="18"/>
      <c r="BRU1223" s="3"/>
      <c r="BRV1223" s="4"/>
      <c r="BRW1223" s="4"/>
      <c r="BRX1223" s="18"/>
      <c r="BRY1223" s="3"/>
      <c r="BRZ1223" s="4"/>
      <c r="BSA1223" s="4"/>
      <c r="BSB1223" s="18"/>
      <c r="BSC1223" s="3"/>
      <c r="BSD1223" s="4"/>
      <c r="BSE1223" s="4"/>
      <c r="BSF1223" s="18"/>
      <c r="BSG1223" s="3"/>
      <c r="BSH1223" s="4"/>
      <c r="BSI1223" s="4"/>
      <c r="BSJ1223" s="18"/>
      <c r="BSK1223" s="3"/>
      <c r="BSL1223" s="4"/>
      <c r="BSM1223" s="4"/>
      <c r="BSN1223" s="18"/>
      <c r="BSO1223" s="3"/>
      <c r="BSP1223" s="4"/>
      <c r="BSQ1223" s="4"/>
      <c r="BSR1223" s="18"/>
      <c r="BSS1223" s="3"/>
      <c r="BST1223" s="4"/>
      <c r="BSU1223" s="4"/>
      <c r="BSV1223" s="18"/>
      <c r="BSW1223" s="3"/>
      <c r="BSX1223" s="4"/>
      <c r="BSY1223" s="4"/>
      <c r="BSZ1223" s="18"/>
      <c r="BTA1223" s="3"/>
      <c r="BTB1223" s="4"/>
      <c r="BTC1223" s="4"/>
      <c r="BTD1223" s="18"/>
      <c r="BTE1223" s="3"/>
      <c r="BTF1223" s="4"/>
      <c r="BTG1223" s="4"/>
      <c r="BTH1223" s="18"/>
      <c r="BTI1223" s="3"/>
      <c r="BTJ1223" s="4"/>
      <c r="BTK1223" s="4"/>
      <c r="BTL1223" s="18"/>
      <c r="BTM1223" s="3"/>
      <c r="BTN1223" s="4"/>
      <c r="BTO1223" s="4"/>
      <c r="BTP1223" s="18"/>
      <c r="BTQ1223" s="3"/>
      <c r="BTR1223" s="4"/>
      <c r="BTS1223" s="4"/>
      <c r="BTT1223" s="18"/>
      <c r="BTU1223" s="3"/>
      <c r="BTV1223" s="4"/>
      <c r="BTW1223" s="4"/>
      <c r="BTX1223" s="18"/>
      <c r="BTY1223" s="3"/>
      <c r="BTZ1223" s="4"/>
      <c r="BUA1223" s="4"/>
      <c r="BUB1223" s="18"/>
      <c r="BUC1223" s="3"/>
      <c r="BUD1223" s="4"/>
      <c r="BUE1223" s="4"/>
      <c r="BUF1223" s="18"/>
      <c r="BUG1223" s="3"/>
      <c r="BUH1223" s="4"/>
      <c r="BUI1223" s="4"/>
      <c r="BUJ1223" s="18"/>
      <c r="BUK1223" s="3"/>
      <c r="BUL1223" s="4"/>
      <c r="BUM1223" s="4"/>
      <c r="BUN1223" s="18"/>
      <c r="BUO1223" s="3"/>
      <c r="BUP1223" s="4"/>
      <c r="BUQ1223" s="4"/>
      <c r="BUR1223" s="18"/>
      <c r="BUS1223" s="3"/>
      <c r="BUT1223" s="4"/>
      <c r="BUU1223" s="4"/>
      <c r="BUV1223" s="18"/>
      <c r="BUW1223" s="3"/>
      <c r="BUX1223" s="4"/>
      <c r="BUY1223" s="4"/>
      <c r="BUZ1223" s="18"/>
      <c r="BVA1223" s="3"/>
      <c r="BVB1223" s="4"/>
      <c r="BVC1223" s="4"/>
      <c r="BVD1223" s="18"/>
      <c r="BVE1223" s="3"/>
      <c r="BVF1223" s="4"/>
      <c r="BVG1223" s="4"/>
      <c r="BVH1223" s="18"/>
      <c r="BVI1223" s="3"/>
      <c r="BVJ1223" s="4"/>
      <c r="BVK1223" s="4"/>
      <c r="BVL1223" s="18"/>
      <c r="BVM1223" s="3"/>
      <c r="BVN1223" s="4"/>
      <c r="BVO1223" s="4"/>
      <c r="BVP1223" s="18"/>
      <c r="BVQ1223" s="3"/>
      <c r="BVR1223" s="4"/>
      <c r="BVS1223" s="4"/>
      <c r="BVT1223" s="18"/>
      <c r="BVU1223" s="3"/>
      <c r="BVV1223" s="4"/>
      <c r="BVW1223" s="4"/>
      <c r="BVX1223" s="18"/>
      <c r="BVY1223" s="3"/>
      <c r="BVZ1223" s="4"/>
      <c r="BWA1223" s="4"/>
      <c r="BWB1223" s="18"/>
      <c r="BWC1223" s="3"/>
      <c r="BWD1223" s="4"/>
      <c r="BWE1223" s="4"/>
      <c r="BWF1223" s="18"/>
      <c r="BWG1223" s="3"/>
      <c r="BWH1223" s="4"/>
      <c r="BWI1223" s="4"/>
      <c r="BWJ1223" s="18"/>
      <c r="BWK1223" s="3"/>
      <c r="BWL1223" s="4"/>
      <c r="BWM1223" s="4"/>
      <c r="BWN1223" s="18"/>
      <c r="BWO1223" s="3"/>
      <c r="BWP1223" s="4"/>
      <c r="BWQ1223" s="4"/>
      <c r="BWR1223" s="18"/>
      <c r="BWS1223" s="3"/>
      <c r="BWT1223" s="4"/>
      <c r="BWU1223" s="4"/>
      <c r="BWV1223" s="18"/>
      <c r="BWW1223" s="3"/>
      <c r="BWX1223" s="4"/>
      <c r="BWY1223" s="4"/>
      <c r="BWZ1223" s="18"/>
      <c r="BXA1223" s="3"/>
      <c r="BXB1223" s="4"/>
      <c r="BXC1223" s="4"/>
      <c r="BXD1223" s="18"/>
      <c r="BXE1223" s="3"/>
      <c r="BXF1223" s="4"/>
      <c r="BXG1223" s="4"/>
      <c r="BXH1223" s="18"/>
      <c r="BXI1223" s="3"/>
      <c r="BXJ1223" s="4"/>
      <c r="BXK1223" s="4"/>
      <c r="BXL1223" s="18"/>
      <c r="BXM1223" s="3"/>
      <c r="BXN1223" s="4"/>
      <c r="BXO1223" s="4"/>
      <c r="BXP1223" s="18"/>
      <c r="BXQ1223" s="3"/>
      <c r="BXR1223" s="4"/>
      <c r="BXS1223" s="4"/>
      <c r="BXT1223" s="18"/>
      <c r="BXU1223" s="3"/>
      <c r="BXV1223" s="4"/>
      <c r="BXW1223" s="4"/>
      <c r="BXX1223" s="18"/>
      <c r="BXY1223" s="3"/>
      <c r="BXZ1223" s="4"/>
      <c r="BYA1223" s="4"/>
      <c r="BYB1223" s="18"/>
      <c r="BYC1223" s="3"/>
      <c r="BYD1223" s="4"/>
      <c r="BYE1223" s="4"/>
      <c r="BYF1223" s="18"/>
      <c r="BYG1223" s="3"/>
      <c r="BYH1223" s="4"/>
      <c r="BYI1223" s="4"/>
      <c r="BYJ1223" s="18"/>
      <c r="BYK1223" s="3"/>
      <c r="BYL1223" s="4"/>
      <c r="BYM1223" s="4"/>
      <c r="BYN1223" s="18"/>
      <c r="BYO1223" s="3"/>
      <c r="BYP1223" s="4"/>
      <c r="BYQ1223" s="4"/>
      <c r="BYR1223" s="18"/>
      <c r="BYS1223" s="3"/>
      <c r="BYT1223" s="4"/>
      <c r="BYU1223" s="4"/>
      <c r="BYV1223" s="18"/>
      <c r="BYW1223" s="3"/>
      <c r="BYX1223" s="4"/>
      <c r="BYY1223" s="4"/>
      <c r="BYZ1223" s="18"/>
      <c r="BZA1223" s="3"/>
      <c r="BZB1223" s="4"/>
      <c r="BZC1223" s="4"/>
      <c r="BZD1223" s="18"/>
      <c r="BZE1223" s="3"/>
      <c r="BZF1223" s="4"/>
      <c r="BZG1223" s="4"/>
      <c r="BZH1223" s="18"/>
      <c r="BZI1223" s="3"/>
      <c r="BZJ1223" s="4"/>
      <c r="BZK1223" s="4"/>
      <c r="BZL1223" s="18"/>
      <c r="BZM1223" s="3"/>
      <c r="BZN1223" s="4"/>
      <c r="BZO1223" s="4"/>
      <c r="BZP1223" s="18"/>
      <c r="BZQ1223" s="3"/>
      <c r="BZR1223" s="4"/>
      <c r="BZS1223" s="4"/>
      <c r="BZT1223" s="18"/>
      <c r="BZU1223" s="3"/>
      <c r="BZV1223" s="4"/>
      <c r="BZW1223" s="4"/>
      <c r="BZX1223" s="18"/>
      <c r="BZY1223" s="3"/>
      <c r="BZZ1223" s="4"/>
      <c r="CAA1223" s="4"/>
      <c r="CAB1223" s="18"/>
      <c r="CAC1223" s="3"/>
      <c r="CAD1223" s="4"/>
      <c r="CAE1223" s="4"/>
      <c r="CAF1223" s="18"/>
      <c r="CAG1223" s="3"/>
      <c r="CAH1223" s="4"/>
      <c r="CAI1223" s="4"/>
      <c r="CAJ1223" s="18"/>
      <c r="CAK1223" s="3"/>
      <c r="CAL1223" s="4"/>
      <c r="CAM1223" s="4"/>
      <c r="CAN1223" s="18"/>
      <c r="CAO1223" s="3"/>
      <c r="CAP1223" s="4"/>
      <c r="CAQ1223" s="4"/>
      <c r="CAR1223" s="18"/>
      <c r="CAS1223" s="3"/>
      <c r="CAT1223" s="4"/>
      <c r="CAU1223" s="4"/>
      <c r="CAV1223" s="18"/>
      <c r="CAW1223" s="3"/>
      <c r="CAX1223" s="4"/>
      <c r="CAY1223" s="4"/>
      <c r="CAZ1223" s="18"/>
      <c r="CBA1223" s="3"/>
      <c r="CBB1223" s="4"/>
      <c r="CBC1223" s="4"/>
      <c r="CBD1223" s="18"/>
      <c r="CBE1223" s="3"/>
      <c r="CBF1223" s="4"/>
      <c r="CBG1223" s="4"/>
      <c r="CBH1223" s="18"/>
      <c r="CBI1223" s="3"/>
      <c r="CBJ1223" s="4"/>
      <c r="CBK1223" s="4"/>
      <c r="CBL1223" s="18"/>
      <c r="CBM1223" s="3"/>
      <c r="CBN1223" s="4"/>
      <c r="CBO1223" s="4"/>
      <c r="CBP1223" s="18"/>
      <c r="CBQ1223" s="3"/>
      <c r="CBR1223" s="4"/>
      <c r="CBS1223" s="4"/>
      <c r="CBT1223" s="18"/>
      <c r="CBU1223" s="3"/>
      <c r="CBV1223" s="4"/>
      <c r="CBW1223" s="4"/>
      <c r="CBX1223" s="18"/>
      <c r="CBY1223" s="3"/>
      <c r="CBZ1223" s="4"/>
      <c r="CCA1223" s="4"/>
      <c r="CCB1223" s="18"/>
      <c r="CCC1223" s="3"/>
      <c r="CCD1223" s="4"/>
      <c r="CCE1223" s="4"/>
      <c r="CCF1223" s="18"/>
      <c r="CCG1223" s="3"/>
      <c r="CCH1223" s="4"/>
      <c r="CCI1223" s="4"/>
      <c r="CCJ1223" s="18"/>
      <c r="CCK1223" s="3"/>
      <c r="CCL1223" s="4"/>
      <c r="CCM1223" s="4"/>
      <c r="CCN1223" s="18"/>
      <c r="CCO1223" s="3"/>
      <c r="CCP1223" s="4"/>
      <c r="CCQ1223" s="4"/>
      <c r="CCR1223" s="18"/>
      <c r="CCS1223" s="3"/>
      <c r="CCT1223" s="4"/>
      <c r="CCU1223" s="4"/>
      <c r="CCV1223" s="18"/>
      <c r="CCW1223" s="3"/>
      <c r="CCX1223" s="4"/>
      <c r="CCY1223" s="4"/>
      <c r="CCZ1223" s="18"/>
      <c r="CDA1223" s="3"/>
      <c r="CDB1223" s="4"/>
      <c r="CDC1223" s="4"/>
      <c r="CDD1223" s="18"/>
      <c r="CDE1223" s="3"/>
      <c r="CDF1223" s="4"/>
      <c r="CDG1223" s="4"/>
      <c r="CDH1223" s="18"/>
      <c r="CDI1223" s="3"/>
      <c r="CDJ1223" s="4"/>
      <c r="CDK1223" s="4"/>
      <c r="CDL1223" s="18"/>
      <c r="CDM1223" s="3"/>
      <c r="CDN1223" s="4"/>
      <c r="CDO1223" s="4"/>
      <c r="CDP1223" s="18"/>
      <c r="CDQ1223" s="3"/>
      <c r="CDR1223" s="4"/>
      <c r="CDS1223" s="4"/>
      <c r="CDT1223" s="18"/>
      <c r="CDU1223" s="3"/>
      <c r="CDV1223" s="4"/>
      <c r="CDW1223" s="4"/>
      <c r="CDX1223" s="18"/>
      <c r="CDY1223" s="3"/>
      <c r="CDZ1223" s="4"/>
      <c r="CEA1223" s="4"/>
      <c r="CEB1223" s="18"/>
      <c r="CEC1223" s="3"/>
      <c r="CED1223" s="4"/>
      <c r="CEE1223" s="4"/>
      <c r="CEF1223" s="18"/>
      <c r="CEG1223" s="3"/>
      <c r="CEH1223" s="4"/>
      <c r="CEI1223" s="4"/>
      <c r="CEJ1223" s="18"/>
      <c r="CEK1223" s="3"/>
      <c r="CEL1223" s="4"/>
      <c r="CEM1223" s="4"/>
      <c r="CEN1223" s="18"/>
      <c r="CEO1223" s="3"/>
      <c r="CEP1223" s="4"/>
      <c r="CEQ1223" s="4"/>
      <c r="CER1223" s="18"/>
      <c r="CES1223" s="3"/>
      <c r="CET1223" s="4"/>
      <c r="CEU1223" s="4"/>
      <c r="CEV1223" s="18"/>
      <c r="CEW1223" s="3"/>
      <c r="CEX1223" s="4"/>
      <c r="CEY1223" s="4"/>
      <c r="CEZ1223" s="18"/>
      <c r="CFA1223" s="3"/>
      <c r="CFB1223" s="4"/>
      <c r="CFC1223" s="4"/>
      <c r="CFD1223" s="18"/>
      <c r="CFE1223" s="3"/>
      <c r="CFF1223" s="4"/>
      <c r="CFG1223" s="4"/>
      <c r="CFH1223" s="18"/>
      <c r="CFI1223" s="3"/>
      <c r="CFJ1223" s="4"/>
      <c r="CFK1223" s="4"/>
      <c r="CFL1223" s="18"/>
      <c r="CFM1223" s="3"/>
      <c r="CFN1223" s="4"/>
      <c r="CFO1223" s="4"/>
      <c r="CFP1223" s="18"/>
      <c r="CFQ1223" s="3"/>
      <c r="CFR1223" s="4"/>
      <c r="CFS1223" s="4"/>
      <c r="CFT1223" s="18"/>
      <c r="CFU1223" s="3"/>
      <c r="CFV1223" s="4"/>
      <c r="CFW1223" s="4"/>
      <c r="CFX1223" s="18"/>
      <c r="CFY1223" s="3"/>
      <c r="CFZ1223" s="4"/>
      <c r="CGA1223" s="4"/>
      <c r="CGB1223" s="18"/>
      <c r="CGC1223" s="3"/>
      <c r="CGD1223" s="4"/>
      <c r="CGE1223" s="4"/>
      <c r="CGF1223" s="18"/>
      <c r="CGG1223" s="3"/>
      <c r="CGH1223" s="4"/>
      <c r="CGI1223" s="4"/>
      <c r="CGJ1223" s="18"/>
      <c r="CGK1223" s="3"/>
      <c r="CGL1223" s="4"/>
      <c r="CGM1223" s="4"/>
      <c r="CGN1223" s="18"/>
      <c r="CGO1223" s="3"/>
      <c r="CGP1223" s="4"/>
      <c r="CGQ1223" s="4"/>
      <c r="CGR1223" s="18"/>
      <c r="CGS1223" s="3"/>
      <c r="CGT1223" s="4"/>
      <c r="CGU1223" s="4"/>
      <c r="CGV1223" s="18"/>
      <c r="CGW1223" s="3"/>
      <c r="CGX1223" s="4"/>
      <c r="CGY1223" s="4"/>
      <c r="CGZ1223" s="18"/>
      <c r="CHA1223" s="3"/>
      <c r="CHB1223" s="4"/>
      <c r="CHC1223" s="4"/>
      <c r="CHD1223" s="18"/>
      <c r="CHE1223" s="3"/>
      <c r="CHF1223" s="4"/>
      <c r="CHG1223" s="4"/>
      <c r="CHH1223" s="18"/>
      <c r="CHI1223" s="3"/>
      <c r="CHJ1223" s="4"/>
      <c r="CHK1223" s="4"/>
      <c r="CHL1223" s="18"/>
      <c r="CHM1223" s="3"/>
      <c r="CHN1223" s="4"/>
      <c r="CHO1223" s="4"/>
      <c r="CHP1223" s="18"/>
      <c r="CHQ1223" s="3"/>
      <c r="CHR1223" s="4"/>
      <c r="CHS1223" s="4"/>
      <c r="CHT1223" s="18"/>
      <c r="CHU1223" s="3"/>
      <c r="CHV1223" s="4"/>
      <c r="CHW1223" s="4"/>
      <c r="CHX1223" s="18"/>
      <c r="CHY1223" s="3"/>
      <c r="CHZ1223" s="4"/>
      <c r="CIA1223" s="4"/>
      <c r="CIB1223" s="18"/>
      <c r="CIC1223" s="3"/>
      <c r="CID1223" s="4"/>
      <c r="CIE1223" s="4"/>
      <c r="CIF1223" s="18"/>
      <c r="CIG1223" s="3"/>
      <c r="CIH1223" s="4"/>
      <c r="CII1223" s="4"/>
      <c r="CIJ1223" s="18"/>
      <c r="CIK1223" s="3"/>
      <c r="CIL1223" s="4"/>
      <c r="CIM1223" s="4"/>
      <c r="CIN1223" s="18"/>
      <c r="CIO1223" s="3"/>
      <c r="CIP1223" s="4"/>
      <c r="CIQ1223" s="4"/>
      <c r="CIR1223" s="18"/>
      <c r="CIS1223" s="3"/>
      <c r="CIT1223" s="4"/>
      <c r="CIU1223" s="4"/>
      <c r="CIV1223" s="18"/>
      <c r="CIW1223" s="3"/>
      <c r="CIX1223" s="4"/>
      <c r="CIY1223" s="4"/>
      <c r="CIZ1223" s="18"/>
      <c r="CJA1223" s="3"/>
      <c r="CJB1223" s="4"/>
      <c r="CJC1223" s="4"/>
      <c r="CJD1223" s="18"/>
      <c r="CJE1223" s="3"/>
      <c r="CJF1223" s="4"/>
      <c r="CJG1223" s="4"/>
      <c r="CJH1223" s="18"/>
      <c r="CJI1223" s="3"/>
      <c r="CJJ1223" s="4"/>
      <c r="CJK1223" s="4"/>
      <c r="CJL1223" s="18"/>
      <c r="CJM1223" s="3"/>
      <c r="CJN1223" s="4"/>
      <c r="CJO1223" s="4"/>
      <c r="CJP1223" s="18"/>
      <c r="CJQ1223" s="3"/>
      <c r="CJR1223" s="4"/>
      <c r="CJS1223" s="4"/>
      <c r="CJT1223" s="18"/>
      <c r="CJU1223" s="3"/>
      <c r="CJV1223" s="4"/>
      <c r="CJW1223" s="4"/>
      <c r="CJX1223" s="18"/>
      <c r="CJY1223" s="3"/>
      <c r="CJZ1223" s="4"/>
      <c r="CKA1223" s="4"/>
      <c r="CKB1223" s="18"/>
      <c r="CKC1223" s="3"/>
      <c r="CKD1223" s="4"/>
      <c r="CKE1223" s="4"/>
      <c r="CKF1223" s="18"/>
      <c r="CKG1223" s="3"/>
      <c r="CKH1223" s="4"/>
      <c r="CKI1223" s="4"/>
      <c r="CKJ1223" s="18"/>
      <c r="CKK1223" s="3"/>
      <c r="CKL1223" s="4"/>
      <c r="CKM1223" s="4"/>
      <c r="CKN1223" s="18"/>
      <c r="CKO1223" s="3"/>
      <c r="CKP1223" s="4"/>
      <c r="CKQ1223" s="4"/>
      <c r="CKR1223" s="18"/>
      <c r="CKS1223" s="3"/>
      <c r="CKT1223" s="4"/>
      <c r="CKU1223" s="4"/>
      <c r="CKV1223" s="18"/>
      <c r="CKW1223" s="3"/>
      <c r="CKX1223" s="4"/>
      <c r="CKY1223" s="4"/>
      <c r="CKZ1223" s="18"/>
      <c r="CLA1223" s="3"/>
      <c r="CLB1223" s="4"/>
      <c r="CLC1223" s="4"/>
      <c r="CLD1223" s="18"/>
      <c r="CLE1223" s="3"/>
      <c r="CLF1223" s="4"/>
      <c r="CLG1223" s="4"/>
      <c r="CLH1223" s="18"/>
      <c r="CLI1223" s="3"/>
      <c r="CLJ1223" s="4"/>
      <c r="CLK1223" s="4"/>
      <c r="CLL1223" s="18"/>
      <c r="CLM1223" s="3"/>
      <c r="CLN1223" s="4"/>
      <c r="CLO1223" s="4"/>
      <c r="CLP1223" s="18"/>
      <c r="CLQ1223" s="3"/>
      <c r="CLR1223" s="4"/>
      <c r="CLS1223" s="4"/>
      <c r="CLT1223" s="18"/>
      <c r="CLU1223" s="3"/>
      <c r="CLV1223" s="4"/>
      <c r="CLW1223" s="4"/>
      <c r="CLX1223" s="18"/>
      <c r="CLY1223" s="3"/>
      <c r="CLZ1223" s="4"/>
      <c r="CMA1223" s="4"/>
      <c r="CMB1223" s="18"/>
      <c r="CMC1223" s="3"/>
      <c r="CMD1223" s="4"/>
      <c r="CME1223" s="4"/>
      <c r="CMF1223" s="18"/>
      <c r="CMG1223" s="3"/>
      <c r="CMH1223" s="4"/>
      <c r="CMI1223" s="4"/>
      <c r="CMJ1223" s="18"/>
      <c r="CMK1223" s="3"/>
      <c r="CML1223" s="4"/>
      <c r="CMM1223" s="4"/>
      <c r="CMN1223" s="18"/>
      <c r="CMO1223" s="3"/>
      <c r="CMP1223" s="4"/>
      <c r="CMQ1223" s="4"/>
      <c r="CMR1223" s="18"/>
      <c r="CMS1223" s="3"/>
      <c r="CMT1223" s="4"/>
      <c r="CMU1223" s="4"/>
      <c r="CMV1223" s="18"/>
      <c r="CMW1223" s="3"/>
      <c r="CMX1223" s="4"/>
      <c r="CMY1223" s="4"/>
      <c r="CMZ1223" s="18"/>
      <c r="CNA1223" s="3"/>
      <c r="CNB1223" s="4"/>
      <c r="CNC1223" s="4"/>
      <c r="CND1223" s="18"/>
      <c r="CNE1223" s="3"/>
      <c r="CNF1223" s="4"/>
      <c r="CNG1223" s="4"/>
      <c r="CNH1223" s="18"/>
      <c r="CNI1223" s="3"/>
      <c r="CNJ1223" s="4"/>
      <c r="CNK1223" s="4"/>
      <c r="CNL1223" s="18"/>
      <c r="CNM1223" s="3"/>
      <c r="CNN1223" s="4"/>
      <c r="CNO1223" s="4"/>
      <c r="CNP1223" s="18"/>
      <c r="CNQ1223" s="3"/>
      <c r="CNR1223" s="4"/>
      <c r="CNS1223" s="4"/>
      <c r="CNT1223" s="18"/>
      <c r="CNU1223" s="3"/>
      <c r="CNV1223" s="4"/>
      <c r="CNW1223" s="4"/>
      <c r="CNX1223" s="18"/>
      <c r="CNY1223" s="3"/>
      <c r="CNZ1223" s="4"/>
      <c r="COA1223" s="4"/>
      <c r="COB1223" s="18"/>
      <c r="COC1223" s="3"/>
      <c r="COD1223" s="4"/>
      <c r="COE1223" s="4"/>
      <c r="COF1223" s="18"/>
      <c r="COG1223" s="3"/>
      <c r="COH1223" s="4"/>
      <c r="COI1223" s="4"/>
      <c r="COJ1223" s="18"/>
      <c r="COK1223" s="3"/>
      <c r="COL1223" s="4"/>
      <c r="COM1223" s="4"/>
      <c r="CON1223" s="18"/>
      <c r="COO1223" s="3"/>
      <c r="COP1223" s="4"/>
      <c r="COQ1223" s="4"/>
      <c r="COR1223" s="18"/>
      <c r="COS1223" s="3"/>
      <c r="COT1223" s="4"/>
      <c r="COU1223" s="4"/>
      <c r="COV1223" s="18"/>
      <c r="COW1223" s="3"/>
      <c r="COX1223" s="4"/>
      <c r="COY1223" s="4"/>
      <c r="COZ1223" s="18"/>
      <c r="CPA1223" s="3"/>
      <c r="CPB1223" s="4"/>
      <c r="CPC1223" s="4"/>
      <c r="CPD1223" s="18"/>
      <c r="CPE1223" s="3"/>
      <c r="CPF1223" s="4"/>
      <c r="CPG1223" s="4"/>
      <c r="CPH1223" s="18"/>
      <c r="CPI1223" s="3"/>
      <c r="CPJ1223" s="4"/>
      <c r="CPK1223" s="4"/>
      <c r="CPL1223" s="18"/>
      <c r="CPM1223" s="3"/>
      <c r="CPN1223" s="4"/>
      <c r="CPO1223" s="4"/>
      <c r="CPP1223" s="18"/>
      <c r="CPQ1223" s="3"/>
      <c r="CPR1223" s="4"/>
      <c r="CPS1223" s="4"/>
      <c r="CPT1223" s="18"/>
      <c r="CPU1223" s="3"/>
      <c r="CPV1223" s="4"/>
      <c r="CPW1223" s="4"/>
      <c r="CPX1223" s="18"/>
      <c r="CPY1223" s="3"/>
      <c r="CPZ1223" s="4"/>
      <c r="CQA1223" s="4"/>
      <c r="CQB1223" s="18"/>
      <c r="CQC1223" s="3"/>
      <c r="CQD1223" s="4"/>
      <c r="CQE1223" s="4"/>
      <c r="CQF1223" s="18"/>
      <c r="CQG1223" s="3"/>
      <c r="CQH1223" s="4"/>
      <c r="CQI1223" s="4"/>
      <c r="CQJ1223" s="18"/>
      <c r="CQK1223" s="3"/>
      <c r="CQL1223" s="4"/>
      <c r="CQM1223" s="4"/>
      <c r="CQN1223" s="18"/>
      <c r="CQO1223" s="3"/>
      <c r="CQP1223" s="4"/>
      <c r="CQQ1223" s="4"/>
      <c r="CQR1223" s="18"/>
      <c r="CQS1223" s="3"/>
      <c r="CQT1223" s="4"/>
      <c r="CQU1223" s="4"/>
      <c r="CQV1223" s="18"/>
      <c r="CQW1223" s="3"/>
      <c r="CQX1223" s="4"/>
      <c r="CQY1223" s="4"/>
      <c r="CQZ1223" s="18"/>
      <c r="CRA1223" s="3"/>
      <c r="CRB1223" s="4"/>
      <c r="CRC1223" s="4"/>
      <c r="CRD1223" s="18"/>
      <c r="CRE1223" s="3"/>
      <c r="CRF1223" s="4"/>
      <c r="CRG1223" s="4"/>
      <c r="CRH1223" s="18"/>
      <c r="CRI1223" s="3"/>
      <c r="CRJ1223" s="4"/>
      <c r="CRK1223" s="4"/>
      <c r="CRL1223" s="18"/>
      <c r="CRM1223" s="3"/>
      <c r="CRN1223" s="4"/>
      <c r="CRO1223" s="4"/>
      <c r="CRP1223" s="18"/>
      <c r="CRQ1223" s="3"/>
      <c r="CRR1223" s="4"/>
      <c r="CRS1223" s="4"/>
      <c r="CRT1223" s="18"/>
      <c r="CRU1223" s="3"/>
      <c r="CRV1223" s="4"/>
      <c r="CRW1223" s="4"/>
      <c r="CRX1223" s="18"/>
      <c r="CRY1223" s="3"/>
      <c r="CRZ1223" s="4"/>
      <c r="CSA1223" s="4"/>
      <c r="CSB1223" s="18"/>
      <c r="CSC1223" s="3"/>
      <c r="CSD1223" s="4"/>
      <c r="CSE1223" s="4"/>
      <c r="CSF1223" s="18"/>
      <c r="CSG1223" s="3"/>
      <c r="CSH1223" s="4"/>
      <c r="CSI1223" s="4"/>
      <c r="CSJ1223" s="18"/>
      <c r="CSK1223" s="3"/>
      <c r="CSL1223" s="4"/>
      <c r="CSM1223" s="4"/>
      <c r="CSN1223" s="18"/>
      <c r="CSO1223" s="3"/>
      <c r="CSP1223" s="4"/>
      <c r="CSQ1223" s="4"/>
      <c r="CSR1223" s="18"/>
      <c r="CSS1223" s="3"/>
      <c r="CST1223" s="4"/>
      <c r="CSU1223" s="4"/>
      <c r="CSV1223" s="18"/>
      <c r="CSW1223" s="3"/>
      <c r="CSX1223" s="4"/>
      <c r="CSY1223" s="4"/>
      <c r="CSZ1223" s="18"/>
      <c r="CTA1223" s="3"/>
      <c r="CTB1223" s="4"/>
      <c r="CTC1223" s="4"/>
      <c r="CTD1223" s="18"/>
      <c r="CTE1223" s="3"/>
      <c r="CTF1223" s="4"/>
      <c r="CTG1223" s="4"/>
      <c r="CTH1223" s="18"/>
      <c r="CTI1223" s="3"/>
      <c r="CTJ1223" s="4"/>
      <c r="CTK1223" s="4"/>
      <c r="CTL1223" s="18"/>
      <c r="CTM1223" s="3"/>
      <c r="CTN1223" s="4"/>
      <c r="CTO1223" s="4"/>
      <c r="CTP1223" s="18"/>
      <c r="CTQ1223" s="3"/>
      <c r="CTR1223" s="4"/>
      <c r="CTS1223" s="4"/>
      <c r="CTT1223" s="18"/>
      <c r="CTU1223" s="3"/>
      <c r="CTV1223" s="4"/>
      <c r="CTW1223" s="4"/>
      <c r="CTX1223" s="18"/>
      <c r="CTY1223" s="3"/>
      <c r="CTZ1223" s="4"/>
      <c r="CUA1223" s="4"/>
      <c r="CUB1223" s="18"/>
      <c r="CUC1223" s="3"/>
      <c r="CUD1223" s="4"/>
      <c r="CUE1223" s="4"/>
      <c r="CUF1223" s="18"/>
      <c r="CUG1223" s="3"/>
      <c r="CUH1223" s="4"/>
      <c r="CUI1223" s="4"/>
      <c r="CUJ1223" s="18"/>
      <c r="CUK1223" s="3"/>
      <c r="CUL1223" s="4"/>
      <c r="CUM1223" s="4"/>
      <c r="CUN1223" s="18"/>
      <c r="CUO1223" s="3"/>
      <c r="CUP1223" s="4"/>
      <c r="CUQ1223" s="4"/>
      <c r="CUR1223" s="18"/>
      <c r="CUS1223" s="3"/>
      <c r="CUT1223" s="4"/>
      <c r="CUU1223" s="4"/>
      <c r="CUV1223" s="18"/>
      <c r="CUW1223" s="3"/>
      <c r="CUX1223" s="4"/>
      <c r="CUY1223" s="4"/>
      <c r="CUZ1223" s="18"/>
      <c r="CVA1223" s="3"/>
      <c r="CVB1223" s="4"/>
      <c r="CVC1223" s="4"/>
      <c r="CVD1223" s="18"/>
      <c r="CVE1223" s="3"/>
      <c r="CVF1223" s="4"/>
      <c r="CVG1223" s="4"/>
      <c r="CVH1223" s="18"/>
      <c r="CVI1223" s="3"/>
      <c r="CVJ1223" s="4"/>
      <c r="CVK1223" s="4"/>
      <c r="CVL1223" s="18"/>
      <c r="CVM1223" s="3"/>
      <c r="CVN1223" s="4"/>
      <c r="CVO1223" s="4"/>
      <c r="CVP1223" s="18"/>
      <c r="CVQ1223" s="3"/>
      <c r="CVR1223" s="4"/>
      <c r="CVS1223" s="4"/>
      <c r="CVT1223" s="18"/>
      <c r="CVU1223" s="3"/>
      <c r="CVV1223" s="4"/>
      <c r="CVW1223" s="4"/>
      <c r="CVX1223" s="18"/>
      <c r="CVY1223" s="3"/>
      <c r="CVZ1223" s="4"/>
      <c r="CWA1223" s="4"/>
      <c r="CWB1223" s="18"/>
      <c r="CWC1223" s="3"/>
      <c r="CWD1223" s="4"/>
      <c r="CWE1223" s="4"/>
      <c r="CWF1223" s="18"/>
      <c r="CWG1223" s="3"/>
      <c r="CWH1223" s="4"/>
      <c r="CWI1223" s="4"/>
      <c r="CWJ1223" s="18"/>
      <c r="CWK1223" s="3"/>
      <c r="CWL1223" s="4"/>
      <c r="CWM1223" s="4"/>
      <c r="CWN1223" s="18"/>
      <c r="CWO1223" s="3"/>
      <c r="CWP1223" s="4"/>
      <c r="CWQ1223" s="4"/>
      <c r="CWR1223" s="18"/>
      <c r="CWS1223" s="3"/>
      <c r="CWT1223" s="4"/>
      <c r="CWU1223" s="4"/>
      <c r="CWV1223" s="18"/>
      <c r="CWW1223" s="3"/>
      <c r="CWX1223" s="4"/>
      <c r="CWY1223" s="4"/>
      <c r="CWZ1223" s="18"/>
      <c r="CXA1223" s="3"/>
      <c r="CXB1223" s="4"/>
      <c r="CXC1223" s="4"/>
      <c r="CXD1223" s="18"/>
      <c r="CXE1223" s="3"/>
      <c r="CXF1223" s="4"/>
      <c r="CXG1223" s="4"/>
      <c r="CXH1223" s="18"/>
      <c r="CXI1223" s="3"/>
      <c r="CXJ1223" s="4"/>
      <c r="CXK1223" s="4"/>
      <c r="CXL1223" s="18"/>
      <c r="CXM1223" s="3"/>
      <c r="CXN1223" s="4"/>
      <c r="CXO1223" s="4"/>
      <c r="CXP1223" s="18"/>
      <c r="CXQ1223" s="3"/>
      <c r="CXR1223" s="4"/>
      <c r="CXS1223" s="4"/>
      <c r="CXT1223" s="18"/>
      <c r="CXU1223" s="3"/>
      <c r="CXV1223" s="4"/>
      <c r="CXW1223" s="4"/>
      <c r="CXX1223" s="18"/>
      <c r="CXY1223" s="3"/>
      <c r="CXZ1223" s="4"/>
      <c r="CYA1223" s="4"/>
      <c r="CYB1223" s="18"/>
      <c r="CYC1223" s="3"/>
      <c r="CYD1223" s="4"/>
      <c r="CYE1223" s="4"/>
      <c r="CYF1223" s="18"/>
      <c r="CYG1223" s="3"/>
      <c r="CYH1223" s="4"/>
      <c r="CYI1223" s="4"/>
      <c r="CYJ1223" s="18"/>
      <c r="CYK1223" s="3"/>
      <c r="CYL1223" s="4"/>
      <c r="CYM1223" s="4"/>
      <c r="CYN1223" s="18"/>
      <c r="CYO1223" s="3"/>
      <c r="CYP1223" s="4"/>
      <c r="CYQ1223" s="4"/>
      <c r="CYR1223" s="18"/>
      <c r="CYS1223" s="3"/>
      <c r="CYT1223" s="4"/>
      <c r="CYU1223" s="4"/>
      <c r="CYV1223" s="18"/>
      <c r="CYW1223" s="3"/>
      <c r="CYX1223" s="4"/>
      <c r="CYY1223" s="4"/>
      <c r="CYZ1223" s="18"/>
      <c r="CZA1223" s="3"/>
      <c r="CZB1223" s="4"/>
      <c r="CZC1223" s="4"/>
      <c r="CZD1223" s="18"/>
      <c r="CZE1223" s="3"/>
      <c r="CZF1223" s="4"/>
      <c r="CZG1223" s="4"/>
      <c r="CZH1223" s="18"/>
      <c r="CZI1223" s="3"/>
      <c r="CZJ1223" s="4"/>
      <c r="CZK1223" s="4"/>
      <c r="CZL1223" s="18"/>
      <c r="CZM1223" s="3"/>
      <c r="CZN1223" s="4"/>
      <c r="CZO1223" s="4"/>
      <c r="CZP1223" s="18"/>
      <c r="CZQ1223" s="3"/>
      <c r="CZR1223" s="4"/>
      <c r="CZS1223" s="4"/>
      <c r="CZT1223" s="18"/>
      <c r="CZU1223" s="3"/>
      <c r="CZV1223" s="4"/>
      <c r="CZW1223" s="4"/>
      <c r="CZX1223" s="18"/>
      <c r="CZY1223" s="3"/>
      <c r="CZZ1223" s="4"/>
      <c r="DAA1223" s="4"/>
      <c r="DAB1223" s="18"/>
      <c r="DAC1223" s="3"/>
      <c r="DAD1223" s="4"/>
      <c r="DAE1223" s="4"/>
      <c r="DAF1223" s="18"/>
      <c r="DAG1223" s="3"/>
      <c r="DAH1223" s="4"/>
      <c r="DAI1223" s="4"/>
      <c r="DAJ1223" s="18"/>
      <c r="DAK1223" s="3"/>
      <c r="DAL1223" s="4"/>
      <c r="DAM1223" s="4"/>
      <c r="DAN1223" s="18"/>
      <c r="DAO1223" s="3"/>
      <c r="DAP1223" s="4"/>
      <c r="DAQ1223" s="4"/>
      <c r="DAR1223" s="18"/>
      <c r="DAS1223" s="3"/>
      <c r="DAT1223" s="4"/>
      <c r="DAU1223" s="4"/>
      <c r="DAV1223" s="18"/>
      <c r="DAW1223" s="3"/>
      <c r="DAX1223" s="4"/>
      <c r="DAY1223" s="4"/>
      <c r="DAZ1223" s="18"/>
      <c r="DBA1223" s="3"/>
      <c r="DBB1223" s="4"/>
      <c r="DBC1223" s="4"/>
      <c r="DBD1223" s="18"/>
      <c r="DBE1223" s="3"/>
      <c r="DBF1223" s="4"/>
      <c r="DBG1223" s="4"/>
      <c r="DBH1223" s="18"/>
      <c r="DBI1223" s="3"/>
      <c r="DBJ1223" s="4"/>
      <c r="DBK1223" s="4"/>
      <c r="DBL1223" s="18"/>
      <c r="DBM1223" s="3"/>
      <c r="DBN1223" s="4"/>
      <c r="DBO1223" s="4"/>
      <c r="DBP1223" s="18"/>
      <c r="DBQ1223" s="3"/>
      <c r="DBR1223" s="4"/>
      <c r="DBS1223" s="4"/>
      <c r="DBT1223" s="18"/>
      <c r="DBU1223" s="3"/>
      <c r="DBV1223" s="4"/>
      <c r="DBW1223" s="4"/>
      <c r="DBX1223" s="18"/>
      <c r="DBY1223" s="3"/>
      <c r="DBZ1223" s="4"/>
      <c r="DCA1223" s="4"/>
      <c r="DCB1223" s="18"/>
      <c r="DCC1223" s="3"/>
      <c r="DCD1223" s="4"/>
      <c r="DCE1223" s="4"/>
      <c r="DCF1223" s="18"/>
      <c r="DCG1223" s="3"/>
      <c r="DCH1223" s="4"/>
      <c r="DCI1223" s="4"/>
      <c r="DCJ1223" s="18"/>
      <c r="DCK1223" s="3"/>
      <c r="DCL1223" s="4"/>
      <c r="DCM1223" s="4"/>
      <c r="DCN1223" s="18"/>
      <c r="DCO1223" s="3"/>
      <c r="DCP1223" s="4"/>
      <c r="DCQ1223" s="4"/>
      <c r="DCR1223" s="18"/>
      <c r="DCS1223" s="3"/>
      <c r="DCT1223" s="4"/>
      <c r="DCU1223" s="4"/>
      <c r="DCV1223" s="18"/>
      <c r="DCW1223" s="3"/>
      <c r="DCX1223" s="4"/>
      <c r="DCY1223" s="4"/>
      <c r="DCZ1223" s="18"/>
      <c r="DDA1223" s="3"/>
      <c r="DDB1223" s="4"/>
      <c r="DDC1223" s="4"/>
      <c r="DDD1223" s="18"/>
      <c r="DDE1223" s="3"/>
      <c r="DDF1223" s="4"/>
      <c r="DDG1223" s="4"/>
      <c r="DDH1223" s="18"/>
      <c r="DDI1223" s="3"/>
      <c r="DDJ1223" s="4"/>
      <c r="DDK1223" s="4"/>
      <c r="DDL1223" s="18"/>
      <c r="DDM1223" s="3"/>
      <c r="DDN1223" s="4"/>
      <c r="DDO1223" s="4"/>
      <c r="DDP1223" s="18"/>
      <c r="DDQ1223" s="3"/>
      <c r="DDR1223" s="4"/>
      <c r="DDS1223" s="4"/>
      <c r="DDT1223" s="18"/>
      <c r="DDU1223" s="3"/>
      <c r="DDV1223" s="4"/>
      <c r="DDW1223" s="4"/>
      <c r="DDX1223" s="18"/>
      <c r="DDY1223" s="3"/>
      <c r="DDZ1223" s="4"/>
      <c r="DEA1223" s="4"/>
      <c r="DEB1223" s="18"/>
      <c r="DEC1223" s="3"/>
      <c r="DED1223" s="4"/>
      <c r="DEE1223" s="4"/>
      <c r="DEF1223" s="18"/>
      <c r="DEG1223" s="3"/>
      <c r="DEH1223" s="4"/>
      <c r="DEI1223" s="4"/>
      <c r="DEJ1223" s="18"/>
      <c r="DEK1223" s="3"/>
      <c r="DEL1223" s="4"/>
      <c r="DEM1223" s="4"/>
      <c r="DEN1223" s="18"/>
      <c r="DEO1223" s="3"/>
      <c r="DEP1223" s="4"/>
      <c r="DEQ1223" s="4"/>
      <c r="DER1223" s="18"/>
      <c r="DES1223" s="3"/>
      <c r="DET1223" s="4"/>
      <c r="DEU1223" s="4"/>
      <c r="DEV1223" s="18"/>
      <c r="DEW1223" s="3"/>
      <c r="DEX1223" s="4"/>
      <c r="DEY1223" s="4"/>
      <c r="DEZ1223" s="18"/>
      <c r="DFA1223" s="3"/>
      <c r="DFB1223" s="4"/>
      <c r="DFC1223" s="4"/>
      <c r="DFD1223" s="18"/>
      <c r="DFE1223" s="3"/>
      <c r="DFF1223" s="4"/>
      <c r="DFG1223" s="4"/>
      <c r="DFH1223" s="18"/>
      <c r="DFI1223" s="3"/>
      <c r="DFJ1223" s="4"/>
      <c r="DFK1223" s="4"/>
      <c r="DFL1223" s="18"/>
      <c r="DFM1223" s="3"/>
      <c r="DFN1223" s="4"/>
      <c r="DFO1223" s="4"/>
      <c r="DFP1223" s="18"/>
      <c r="DFQ1223" s="3"/>
      <c r="DFR1223" s="4"/>
      <c r="DFS1223" s="4"/>
      <c r="DFT1223" s="18"/>
      <c r="DFU1223" s="3"/>
      <c r="DFV1223" s="4"/>
      <c r="DFW1223" s="4"/>
      <c r="DFX1223" s="18"/>
      <c r="DFY1223" s="3"/>
      <c r="DFZ1223" s="4"/>
      <c r="DGA1223" s="4"/>
      <c r="DGB1223" s="18"/>
      <c r="DGC1223" s="3"/>
      <c r="DGD1223" s="4"/>
      <c r="DGE1223" s="4"/>
      <c r="DGF1223" s="18"/>
      <c r="DGG1223" s="3"/>
      <c r="DGH1223" s="4"/>
      <c r="DGI1223" s="4"/>
      <c r="DGJ1223" s="18"/>
      <c r="DGK1223" s="3"/>
      <c r="DGL1223" s="4"/>
      <c r="DGM1223" s="4"/>
      <c r="DGN1223" s="18"/>
      <c r="DGO1223" s="3"/>
      <c r="DGP1223" s="4"/>
      <c r="DGQ1223" s="4"/>
      <c r="DGR1223" s="18"/>
      <c r="DGS1223" s="3"/>
      <c r="DGT1223" s="4"/>
      <c r="DGU1223" s="4"/>
      <c r="DGV1223" s="18"/>
      <c r="DGW1223" s="3"/>
      <c r="DGX1223" s="4"/>
      <c r="DGY1223" s="4"/>
      <c r="DGZ1223" s="18"/>
      <c r="DHA1223" s="3"/>
      <c r="DHB1223" s="4"/>
      <c r="DHC1223" s="4"/>
      <c r="DHD1223" s="18"/>
      <c r="DHE1223" s="3"/>
      <c r="DHF1223" s="4"/>
      <c r="DHG1223" s="4"/>
      <c r="DHH1223" s="18"/>
      <c r="DHI1223" s="3"/>
      <c r="DHJ1223" s="4"/>
      <c r="DHK1223" s="4"/>
      <c r="DHL1223" s="18"/>
      <c r="DHM1223" s="3"/>
      <c r="DHN1223" s="4"/>
      <c r="DHO1223" s="4"/>
      <c r="DHP1223" s="18"/>
      <c r="DHQ1223" s="3"/>
      <c r="DHR1223" s="4"/>
      <c r="DHS1223" s="4"/>
      <c r="DHT1223" s="18"/>
      <c r="DHU1223" s="3"/>
      <c r="DHV1223" s="4"/>
      <c r="DHW1223" s="4"/>
      <c r="DHX1223" s="18"/>
      <c r="DHY1223" s="3"/>
      <c r="DHZ1223" s="4"/>
      <c r="DIA1223" s="4"/>
      <c r="DIB1223" s="18"/>
      <c r="DIC1223" s="3"/>
      <c r="DID1223" s="4"/>
      <c r="DIE1223" s="4"/>
      <c r="DIF1223" s="18"/>
      <c r="DIG1223" s="3"/>
      <c r="DIH1223" s="4"/>
      <c r="DII1223" s="4"/>
      <c r="DIJ1223" s="18"/>
      <c r="DIK1223" s="3"/>
      <c r="DIL1223" s="4"/>
      <c r="DIM1223" s="4"/>
      <c r="DIN1223" s="18"/>
      <c r="DIO1223" s="3"/>
      <c r="DIP1223" s="4"/>
      <c r="DIQ1223" s="4"/>
      <c r="DIR1223" s="18"/>
      <c r="DIS1223" s="3"/>
      <c r="DIT1223" s="4"/>
      <c r="DIU1223" s="4"/>
      <c r="DIV1223" s="18"/>
      <c r="DIW1223" s="3"/>
      <c r="DIX1223" s="4"/>
      <c r="DIY1223" s="4"/>
      <c r="DIZ1223" s="18"/>
      <c r="DJA1223" s="3"/>
      <c r="DJB1223" s="4"/>
      <c r="DJC1223" s="4"/>
      <c r="DJD1223" s="18"/>
      <c r="DJE1223" s="3"/>
      <c r="DJF1223" s="4"/>
      <c r="DJG1223" s="4"/>
      <c r="DJH1223" s="18"/>
      <c r="DJI1223" s="3"/>
      <c r="DJJ1223" s="4"/>
      <c r="DJK1223" s="4"/>
      <c r="DJL1223" s="18"/>
      <c r="DJM1223" s="3"/>
      <c r="DJN1223" s="4"/>
      <c r="DJO1223" s="4"/>
      <c r="DJP1223" s="18"/>
      <c r="DJQ1223" s="3"/>
      <c r="DJR1223" s="4"/>
      <c r="DJS1223" s="4"/>
      <c r="DJT1223" s="18"/>
      <c r="DJU1223" s="3"/>
      <c r="DJV1223" s="4"/>
      <c r="DJW1223" s="4"/>
      <c r="DJX1223" s="18"/>
      <c r="DJY1223" s="3"/>
      <c r="DJZ1223" s="4"/>
      <c r="DKA1223" s="4"/>
      <c r="DKB1223" s="18"/>
      <c r="DKC1223" s="3"/>
      <c r="DKD1223" s="4"/>
      <c r="DKE1223" s="4"/>
      <c r="DKF1223" s="18"/>
      <c r="DKG1223" s="3"/>
      <c r="DKH1223" s="4"/>
      <c r="DKI1223" s="4"/>
      <c r="DKJ1223" s="18"/>
      <c r="DKK1223" s="3"/>
      <c r="DKL1223" s="4"/>
      <c r="DKM1223" s="4"/>
      <c r="DKN1223" s="18"/>
      <c r="DKO1223" s="3"/>
      <c r="DKP1223" s="4"/>
      <c r="DKQ1223" s="4"/>
      <c r="DKR1223" s="18"/>
      <c r="DKS1223" s="3"/>
      <c r="DKT1223" s="4"/>
      <c r="DKU1223" s="4"/>
      <c r="DKV1223" s="18"/>
      <c r="DKW1223" s="3"/>
      <c r="DKX1223" s="4"/>
      <c r="DKY1223" s="4"/>
      <c r="DKZ1223" s="18"/>
      <c r="DLA1223" s="3"/>
      <c r="DLB1223" s="4"/>
      <c r="DLC1223" s="4"/>
      <c r="DLD1223" s="18"/>
      <c r="DLE1223" s="3"/>
      <c r="DLF1223" s="4"/>
      <c r="DLG1223" s="4"/>
      <c r="DLH1223" s="18"/>
      <c r="DLI1223" s="3"/>
      <c r="DLJ1223" s="4"/>
      <c r="DLK1223" s="4"/>
      <c r="DLL1223" s="18"/>
      <c r="DLM1223" s="3"/>
      <c r="DLN1223" s="4"/>
      <c r="DLO1223" s="4"/>
      <c r="DLP1223" s="18"/>
      <c r="DLQ1223" s="3"/>
      <c r="DLR1223" s="4"/>
      <c r="DLS1223" s="4"/>
      <c r="DLT1223" s="18"/>
      <c r="DLU1223" s="3"/>
      <c r="DLV1223" s="4"/>
      <c r="DLW1223" s="4"/>
      <c r="DLX1223" s="18"/>
      <c r="DLY1223" s="3"/>
      <c r="DLZ1223" s="4"/>
      <c r="DMA1223" s="4"/>
      <c r="DMB1223" s="18"/>
      <c r="DMC1223" s="3"/>
      <c r="DMD1223" s="4"/>
      <c r="DME1223" s="4"/>
      <c r="DMF1223" s="18"/>
      <c r="DMG1223" s="3"/>
      <c r="DMH1223" s="4"/>
      <c r="DMI1223" s="4"/>
      <c r="DMJ1223" s="18"/>
      <c r="DMK1223" s="3"/>
      <c r="DML1223" s="4"/>
      <c r="DMM1223" s="4"/>
      <c r="DMN1223" s="18"/>
      <c r="DMO1223" s="3"/>
      <c r="DMP1223" s="4"/>
      <c r="DMQ1223" s="4"/>
      <c r="DMR1223" s="18"/>
      <c r="DMS1223" s="3"/>
      <c r="DMT1223" s="4"/>
      <c r="DMU1223" s="4"/>
      <c r="DMV1223" s="18"/>
      <c r="DMW1223" s="3"/>
      <c r="DMX1223" s="4"/>
      <c r="DMY1223" s="4"/>
      <c r="DMZ1223" s="18"/>
      <c r="DNA1223" s="3"/>
      <c r="DNB1223" s="4"/>
      <c r="DNC1223" s="4"/>
      <c r="DND1223" s="18"/>
      <c r="DNE1223" s="3"/>
      <c r="DNF1223" s="4"/>
      <c r="DNG1223" s="4"/>
      <c r="DNH1223" s="18"/>
      <c r="DNI1223" s="3"/>
      <c r="DNJ1223" s="4"/>
      <c r="DNK1223" s="4"/>
      <c r="DNL1223" s="18"/>
      <c r="DNM1223" s="3"/>
      <c r="DNN1223" s="4"/>
      <c r="DNO1223" s="4"/>
      <c r="DNP1223" s="18"/>
      <c r="DNQ1223" s="3"/>
      <c r="DNR1223" s="4"/>
      <c r="DNS1223" s="4"/>
      <c r="DNT1223" s="18"/>
      <c r="DNU1223" s="3"/>
      <c r="DNV1223" s="4"/>
      <c r="DNW1223" s="4"/>
      <c r="DNX1223" s="18"/>
      <c r="DNY1223" s="3"/>
      <c r="DNZ1223" s="4"/>
      <c r="DOA1223" s="4"/>
      <c r="DOB1223" s="18"/>
      <c r="DOC1223" s="3"/>
      <c r="DOD1223" s="4"/>
      <c r="DOE1223" s="4"/>
      <c r="DOF1223" s="18"/>
      <c r="DOG1223" s="3"/>
      <c r="DOH1223" s="4"/>
      <c r="DOI1223" s="4"/>
      <c r="DOJ1223" s="18"/>
      <c r="DOK1223" s="3"/>
      <c r="DOL1223" s="4"/>
      <c r="DOM1223" s="4"/>
      <c r="DON1223" s="18"/>
      <c r="DOO1223" s="3"/>
      <c r="DOP1223" s="4"/>
      <c r="DOQ1223" s="4"/>
      <c r="DOR1223" s="18"/>
      <c r="DOS1223" s="3"/>
      <c r="DOT1223" s="4"/>
      <c r="DOU1223" s="4"/>
      <c r="DOV1223" s="18"/>
      <c r="DOW1223" s="3"/>
      <c r="DOX1223" s="4"/>
      <c r="DOY1223" s="4"/>
      <c r="DOZ1223" s="18"/>
      <c r="DPA1223" s="3"/>
      <c r="DPB1223" s="4"/>
      <c r="DPC1223" s="4"/>
      <c r="DPD1223" s="18"/>
      <c r="DPE1223" s="3"/>
      <c r="DPF1223" s="4"/>
      <c r="DPG1223" s="4"/>
      <c r="DPH1223" s="18"/>
      <c r="DPI1223" s="3"/>
      <c r="DPJ1223" s="4"/>
      <c r="DPK1223" s="4"/>
      <c r="DPL1223" s="18"/>
      <c r="DPM1223" s="3"/>
      <c r="DPN1223" s="4"/>
      <c r="DPO1223" s="4"/>
      <c r="DPP1223" s="18"/>
      <c r="DPQ1223" s="3"/>
      <c r="DPR1223" s="4"/>
      <c r="DPS1223" s="4"/>
      <c r="DPT1223" s="18"/>
      <c r="DPU1223" s="3"/>
      <c r="DPV1223" s="4"/>
      <c r="DPW1223" s="4"/>
      <c r="DPX1223" s="18"/>
      <c r="DPY1223" s="3"/>
      <c r="DPZ1223" s="4"/>
      <c r="DQA1223" s="4"/>
      <c r="DQB1223" s="18"/>
      <c r="DQC1223" s="3"/>
      <c r="DQD1223" s="4"/>
      <c r="DQE1223" s="4"/>
      <c r="DQF1223" s="18"/>
      <c r="DQG1223" s="3"/>
      <c r="DQH1223" s="4"/>
      <c r="DQI1223" s="4"/>
      <c r="DQJ1223" s="18"/>
      <c r="DQK1223" s="3"/>
      <c r="DQL1223" s="4"/>
      <c r="DQM1223" s="4"/>
      <c r="DQN1223" s="18"/>
      <c r="DQO1223" s="3"/>
      <c r="DQP1223" s="4"/>
      <c r="DQQ1223" s="4"/>
      <c r="DQR1223" s="18"/>
      <c r="DQS1223" s="3"/>
      <c r="DQT1223" s="4"/>
      <c r="DQU1223" s="4"/>
      <c r="DQV1223" s="18"/>
      <c r="DQW1223" s="3"/>
      <c r="DQX1223" s="4"/>
      <c r="DQY1223" s="4"/>
      <c r="DQZ1223" s="18"/>
      <c r="DRA1223" s="3"/>
      <c r="DRB1223" s="4"/>
      <c r="DRC1223" s="4"/>
      <c r="DRD1223" s="18"/>
      <c r="DRE1223" s="3"/>
      <c r="DRF1223" s="4"/>
      <c r="DRG1223" s="4"/>
      <c r="DRH1223" s="18"/>
      <c r="DRI1223" s="3"/>
      <c r="DRJ1223" s="4"/>
      <c r="DRK1223" s="4"/>
      <c r="DRL1223" s="18"/>
      <c r="DRM1223" s="3"/>
      <c r="DRN1223" s="4"/>
      <c r="DRO1223" s="4"/>
      <c r="DRP1223" s="18"/>
      <c r="DRQ1223" s="3"/>
      <c r="DRR1223" s="4"/>
      <c r="DRS1223" s="4"/>
      <c r="DRT1223" s="18"/>
      <c r="DRU1223" s="3"/>
      <c r="DRV1223" s="4"/>
      <c r="DRW1223" s="4"/>
      <c r="DRX1223" s="18"/>
      <c r="DRY1223" s="3"/>
      <c r="DRZ1223" s="4"/>
      <c r="DSA1223" s="4"/>
      <c r="DSB1223" s="18"/>
      <c r="DSC1223" s="3"/>
      <c r="DSD1223" s="4"/>
      <c r="DSE1223" s="4"/>
      <c r="DSF1223" s="18"/>
      <c r="DSG1223" s="3"/>
      <c r="DSH1223" s="4"/>
      <c r="DSI1223" s="4"/>
      <c r="DSJ1223" s="18"/>
      <c r="DSK1223" s="3"/>
      <c r="DSL1223" s="4"/>
      <c r="DSM1223" s="4"/>
      <c r="DSN1223" s="18"/>
      <c r="DSO1223" s="3"/>
      <c r="DSP1223" s="4"/>
      <c r="DSQ1223" s="4"/>
      <c r="DSR1223" s="18"/>
      <c r="DSS1223" s="3"/>
      <c r="DST1223" s="4"/>
      <c r="DSU1223" s="4"/>
      <c r="DSV1223" s="18"/>
      <c r="DSW1223" s="3"/>
      <c r="DSX1223" s="4"/>
      <c r="DSY1223" s="4"/>
      <c r="DSZ1223" s="18"/>
      <c r="DTA1223" s="3"/>
      <c r="DTB1223" s="4"/>
      <c r="DTC1223" s="4"/>
      <c r="DTD1223" s="18"/>
      <c r="DTE1223" s="3"/>
      <c r="DTF1223" s="4"/>
      <c r="DTG1223" s="4"/>
      <c r="DTH1223" s="18"/>
      <c r="DTI1223" s="3"/>
      <c r="DTJ1223" s="4"/>
      <c r="DTK1223" s="4"/>
      <c r="DTL1223" s="18"/>
      <c r="DTM1223" s="3"/>
      <c r="DTN1223" s="4"/>
      <c r="DTO1223" s="4"/>
      <c r="DTP1223" s="18"/>
      <c r="DTQ1223" s="3"/>
      <c r="DTR1223" s="4"/>
      <c r="DTS1223" s="4"/>
      <c r="DTT1223" s="18"/>
      <c r="DTU1223" s="3"/>
      <c r="DTV1223" s="4"/>
      <c r="DTW1223" s="4"/>
      <c r="DTX1223" s="18"/>
      <c r="DTY1223" s="3"/>
      <c r="DTZ1223" s="4"/>
      <c r="DUA1223" s="4"/>
      <c r="DUB1223" s="18"/>
      <c r="DUC1223" s="3"/>
      <c r="DUD1223" s="4"/>
      <c r="DUE1223" s="4"/>
      <c r="DUF1223" s="18"/>
      <c r="DUG1223" s="3"/>
      <c r="DUH1223" s="4"/>
      <c r="DUI1223" s="4"/>
      <c r="DUJ1223" s="18"/>
      <c r="DUK1223" s="3"/>
      <c r="DUL1223" s="4"/>
      <c r="DUM1223" s="4"/>
      <c r="DUN1223" s="18"/>
      <c r="DUO1223" s="3"/>
      <c r="DUP1223" s="4"/>
      <c r="DUQ1223" s="4"/>
      <c r="DUR1223" s="18"/>
      <c r="DUS1223" s="3"/>
      <c r="DUT1223" s="4"/>
      <c r="DUU1223" s="4"/>
      <c r="DUV1223" s="18"/>
      <c r="DUW1223" s="3"/>
      <c r="DUX1223" s="4"/>
      <c r="DUY1223" s="4"/>
      <c r="DUZ1223" s="18"/>
      <c r="DVA1223" s="3"/>
      <c r="DVB1223" s="4"/>
      <c r="DVC1223" s="4"/>
      <c r="DVD1223" s="18"/>
      <c r="DVE1223" s="3"/>
      <c r="DVF1223" s="4"/>
      <c r="DVG1223" s="4"/>
      <c r="DVH1223" s="18"/>
      <c r="DVI1223" s="3"/>
      <c r="DVJ1223" s="4"/>
      <c r="DVK1223" s="4"/>
      <c r="DVL1223" s="18"/>
      <c r="DVM1223" s="3"/>
      <c r="DVN1223" s="4"/>
      <c r="DVO1223" s="4"/>
      <c r="DVP1223" s="18"/>
      <c r="DVQ1223" s="3"/>
      <c r="DVR1223" s="4"/>
      <c r="DVS1223" s="4"/>
      <c r="DVT1223" s="18"/>
      <c r="DVU1223" s="3"/>
      <c r="DVV1223" s="4"/>
      <c r="DVW1223" s="4"/>
      <c r="DVX1223" s="18"/>
      <c r="DVY1223" s="3"/>
      <c r="DVZ1223" s="4"/>
      <c r="DWA1223" s="4"/>
      <c r="DWB1223" s="18"/>
      <c r="DWC1223" s="3"/>
      <c r="DWD1223" s="4"/>
      <c r="DWE1223" s="4"/>
      <c r="DWF1223" s="18"/>
      <c r="DWG1223" s="3"/>
      <c r="DWH1223" s="4"/>
      <c r="DWI1223" s="4"/>
      <c r="DWJ1223" s="18"/>
      <c r="DWK1223" s="3"/>
      <c r="DWL1223" s="4"/>
      <c r="DWM1223" s="4"/>
      <c r="DWN1223" s="18"/>
      <c r="DWO1223" s="3"/>
      <c r="DWP1223" s="4"/>
      <c r="DWQ1223" s="4"/>
      <c r="DWR1223" s="18"/>
      <c r="DWS1223" s="3"/>
      <c r="DWT1223" s="4"/>
      <c r="DWU1223" s="4"/>
      <c r="DWV1223" s="18"/>
      <c r="DWW1223" s="3"/>
      <c r="DWX1223" s="4"/>
      <c r="DWY1223" s="4"/>
      <c r="DWZ1223" s="18"/>
      <c r="DXA1223" s="3"/>
      <c r="DXB1223" s="4"/>
      <c r="DXC1223" s="4"/>
      <c r="DXD1223" s="18"/>
      <c r="DXE1223" s="3"/>
      <c r="DXF1223" s="4"/>
      <c r="DXG1223" s="4"/>
      <c r="DXH1223" s="18"/>
      <c r="DXI1223" s="3"/>
      <c r="DXJ1223" s="4"/>
      <c r="DXK1223" s="4"/>
      <c r="DXL1223" s="18"/>
      <c r="DXM1223" s="3"/>
      <c r="DXN1223" s="4"/>
      <c r="DXO1223" s="4"/>
      <c r="DXP1223" s="18"/>
      <c r="DXQ1223" s="3"/>
      <c r="DXR1223" s="4"/>
      <c r="DXS1223" s="4"/>
      <c r="DXT1223" s="18"/>
      <c r="DXU1223" s="3"/>
      <c r="DXV1223" s="4"/>
      <c r="DXW1223" s="4"/>
      <c r="DXX1223" s="18"/>
      <c r="DXY1223" s="3"/>
      <c r="DXZ1223" s="4"/>
      <c r="DYA1223" s="4"/>
      <c r="DYB1223" s="18"/>
      <c r="DYC1223" s="3"/>
      <c r="DYD1223" s="4"/>
      <c r="DYE1223" s="4"/>
      <c r="DYF1223" s="18"/>
      <c r="DYG1223" s="3"/>
      <c r="DYH1223" s="4"/>
      <c r="DYI1223" s="4"/>
      <c r="DYJ1223" s="18"/>
      <c r="DYK1223" s="3"/>
      <c r="DYL1223" s="4"/>
      <c r="DYM1223" s="4"/>
      <c r="DYN1223" s="18"/>
      <c r="DYO1223" s="3"/>
      <c r="DYP1223" s="4"/>
      <c r="DYQ1223" s="4"/>
      <c r="DYR1223" s="18"/>
      <c r="DYS1223" s="3"/>
      <c r="DYT1223" s="4"/>
      <c r="DYU1223" s="4"/>
      <c r="DYV1223" s="18"/>
      <c r="DYW1223" s="3"/>
      <c r="DYX1223" s="4"/>
      <c r="DYY1223" s="4"/>
      <c r="DYZ1223" s="18"/>
      <c r="DZA1223" s="3"/>
      <c r="DZB1223" s="4"/>
      <c r="DZC1223" s="4"/>
      <c r="DZD1223" s="18"/>
      <c r="DZE1223" s="3"/>
      <c r="DZF1223" s="4"/>
      <c r="DZG1223" s="4"/>
      <c r="DZH1223" s="18"/>
      <c r="DZI1223" s="3"/>
      <c r="DZJ1223" s="4"/>
      <c r="DZK1223" s="4"/>
      <c r="DZL1223" s="18"/>
      <c r="DZM1223" s="3"/>
      <c r="DZN1223" s="4"/>
      <c r="DZO1223" s="4"/>
      <c r="DZP1223" s="18"/>
      <c r="DZQ1223" s="3"/>
      <c r="DZR1223" s="4"/>
      <c r="DZS1223" s="4"/>
      <c r="DZT1223" s="18"/>
      <c r="DZU1223" s="3"/>
      <c r="DZV1223" s="4"/>
      <c r="DZW1223" s="4"/>
      <c r="DZX1223" s="18"/>
      <c r="DZY1223" s="3"/>
      <c r="DZZ1223" s="4"/>
      <c r="EAA1223" s="4"/>
      <c r="EAB1223" s="18"/>
      <c r="EAC1223" s="3"/>
      <c r="EAD1223" s="4"/>
      <c r="EAE1223" s="4"/>
      <c r="EAF1223" s="18"/>
      <c r="EAG1223" s="3"/>
      <c r="EAH1223" s="4"/>
      <c r="EAI1223" s="4"/>
      <c r="EAJ1223" s="18"/>
      <c r="EAK1223" s="3"/>
      <c r="EAL1223" s="4"/>
      <c r="EAM1223" s="4"/>
      <c r="EAN1223" s="18"/>
      <c r="EAO1223" s="3"/>
      <c r="EAP1223" s="4"/>
      <c r="EAQ1223" s="4"/>
      <c r="EAR1223" s="18"/>
      <c r="EAS1223" s="3"/>
      <c r="EAT1223" s="4"/>
      <c r="EAU1223" s="4"/>
      <c r="EAV1223" s="18"/>
      <c r="EAW1223" s="3"/>
      <c r="EAX1223" s="4"/>
      <c r="EAY1223" s="4"/>
      <c r="EAZ1223" s="18"/>
      <c r="EBA1223" s="3"/>
      <c r="EBB1223" s="4"/>
      <c r="EBC1223" s="4"/>
      <c r="EBD1223" s="18"/>
      <c r="EBE1223" s="3"/>
      <c r="EBF1223" s="4"/>
      <c r="EBG1223" s="4"/>
      <c r="EBH1223" s="18"/>
      <c r="EBI1223" s="3"/>
      <c r="EBJ1223" s="4"/>
      <c r="EBK1223" s="4"/>
      <c r="EBL1223" s="18"/>
      <c r="EBM1223" s="3"/>
      <c r="EBN1223" s="4"/>
      <c r="EBO1223" s="4"/>
      <c r="EBP1223" s="18"/>
      <c r="EBQ1223" s="3"/>
      <c r="EBR1223" s="4"/>
      <c r="EBS1223" s="4"/>
      <c r="EBT1223" s="18"/>
      <c r="EBU1223" s="3"/>
      <c r="EBV1223" s="4"/>
      <c r="EBW1223" s="4"/>
      <c r="EBX1223" s="18"/>
      <c r="EBY1223" s="3"/>
      <c r="EBZ1223" s="4"/>
      <c r="ECA1223" s="4"/>
      <c r="ECB1223" s="18"/>
      <c r="ECC1223" s="3"/>
      <c r="ECD1223" s="4"/>
      <c r="ECE1223" s="4"/>
      <c r="ECF1223" s="18"/>
      <c r="ECG1223" s="3"/>
      <c r="ECH1223" s="4"/>
      <c r="ECI1223" s="4"/>
      <c r="ECJ1223" s="18"/>
      <c r="ECK1223" s="3"/>
      <c r="ECL1223" s="4"/>
      <c r="ECM1223" s="4"/>
      <c r="ECN1223" s="18"/>
      <c r="ECO1223" s="3"/>
      <c r="ECP1223" s="4"/>
      <c r="ECQ1223" s="4"/>
      <c r="ECR1223" s="18"/>
      <c r="ECS1223" s="3"/>
      <c r="ECT1223" s="4"/>
      <c r="ECU1223" s="4"/>
      <c r="ECV1223" s="18"/>
      <c r="ECW1223" s="3"/>
      <c r="ECX1223" s="4"/>
      <c r="ECY1223" s="4"/>
      <c r="ECZ1223" s="18"/>
      <c r="EDA1223" s="3"/>
      <c r="EDB1223" s="4"/>
      <c r="EDC1223" s="4"/>
      <c r="EDD1223" s="18"/>
      <c r="EDE1223" s="3"/>
      <c r="EDF1223" s="4"/>
      <c r="EDG1223" s="4"/>
      <c r="EDH1223" s="18"/>
      <c r="EDI1223" s="3"/>
      <c r="EDJ1223" s="4"/>
      <c r="EDK1223" s="4"/>
      <c r="EDL1223" s="18"/>
      <c r="EDM1223" s="3"/>
      <c r="EDN1223" s="4"/>
      <c r="EDO1223" s="4"/>
      <c r="EDP1223" s="18"/>
      <c r="EDQ1223" s="3"/>
      <c r="EDR1223" s="4"/>
      <c r="EDS1223" s="4"/>
      <c r="EDT1223" s="18"/>
      <c r="EDU1223" s="3"/>
      <c r="EDV1223" s="4"/>
      <c r="EDW1223" s="4"/>
      <c r="EDX1223" s="18"/>
      <c r="EDY1223" s="3"/>
      <c r="EDZ1223" s="4"/>
      <c r="EEA1223" s="4"/>
      <c r="EEB1223" s="18"/>
      <c r="EEC1223" s="3"/>
      <c r="EED1223" s="4"/>
      <c r="EEE1223" s="4"/>
      <c r="EEF1223" s="18"/>
      <c r="EEG1223" s="3"/>
      <c r="EEH1223" s="4"/>
      <c r="EEI1223" s="4"/>
      <c r="EEJ1223" s="18"/>
      <c r="EEK1223" s="3"/>
      <c r="EEL1223" s="4"/>
      <c r="EEM1223" s="4"/>
      <c r="EEN1223" s="18"/>
      <c r="EEO1223" s="3"/>
      <c r="EEP1223" s="4"/>
      <c r="EEQ1223" s="4"/>
      <c r="EER1223" s="18"/>
      <c r="EES1223" s="3"/>
      <c r="EET1223" s="4"/>
      <c r="EEU1223" s="4"/>
      <c r="EEV1223" s="18"/>
      <c r="EEW1223" s="3"/>
      <c r="EEX1223" s="4"/>
      <c r="EEY1223" s="4"/>
      <c r="EEZ1223" s="18"/>
      <c r="EFA1223" s="3"/>
      <c r="EFB1223" s="4"/>
      <c r="EFC1223" s="4"/>
      <c r="EFD1223" s="18"/>
      <c r="EFE1223" s="3"/>
      <c r="EFF1223" s="4"/>
      <c r="EFG1223" s="4"/>
      <c r="EFH1223" s="18"/>
      <c r="EFI1223" s="3"/>
      <c r="EFJ1223" s="4"/>
      <c r="EFK1223" s="4"/>
      <c r="EFL1223" s="18"/>
      <c r="EFM1223" s="3"/>
      <c r="EFN1223" s="4"/>
      <c r="EFO1223" s="4"/>
      <c r="EFP1223" s="18"/>
      <c r="EFQ1223" s="3"/>
      <c r="EFR1223" s="4"/>
      <c r="EFS1223" s="4"/>
      <c r="EFT1223" s="18"/>
      <c r="EFU1223" s="3"/>
      <c r="EFV1223" s="4"/>
      <c r="EFW1223" s="4"/>
      <c r="EFX1223" s="18"/>
      <c r="EFY1223" s="3"/>
      <c r="EFZ1223" s="4"/>
      <c r="EGA1223" s="4"/>
      <c r="EGB1223" s="18"/>
      <c r="EGC1223" s="3"/>
      <c r="EGD1223" s="4"/>
      <c r="EGE1223" s="4"/>
      <c r="EGF1223" s="18"/>
      <c r="EGG1223" s="3"/>
      <c r="EGH1223" s="4"/>
      <c r="EGI1223" s="4"/>
      <c r="EGJ1223" s="18"/>
      <c r="EGK1223" s="3"/>
      <c r="EGL1223" s="4"/>
      <c r="EGM1223" s="4"/>
      <c r="EGN1223" s="18"/>
      <c r="EGO1223" s="3"/>
      <c r="EGP1223" s="4"/>
      <c r="EGQ1223" s="4"/>
      <c r="EGR1223" s="18"/>
      <c r="EGS1223" s="3"/>
      <c r="EGT1223" s="4"/>
      <c r="EGU1223" s="4"/>
      <c r="EGV1223" s="18"/>
      <c r="EGW1223" s="3"/>
      <c r="EGX1223" s="4"/>
      <c r="EGY1223" s="4"/>
      <c r="EGZ1223" s="18"/>
      <c r="EHA1223" s="3"/>
      <c r="EHB1223" s="4"/>
      <c r="EHC1223" s="4"/>
      <c r="EHD1223" s="18"/>
      <c r="EHE1223" s="3"/>
      <c r="EHF1223" s="4"/>
      <c r="EHG1223" s="4"/>
      <c r="EHH1223" s="18"/>
      <c r="EHI1223" s="3"/>
      <c r="EHJ1223" s="4"/>
      <c r="EHK1223" s="4"/>
      <c r="EHL1223" s="18"/>
      <c r="EHM1223" s="3"/>
      <c r="EHN1223" s="4"/>
      <c r="EHO1223" s="4"/>
      <c r="EHP1223" s="18"/>
      <c r="EHQ1223" s="3"/>
      <c r="EHR1223" s="4"/>
      <c r="EHS1223" s="4"/>
      <c r="EHT1223" s="18"/>
      <c r="EHU1223" s="3"/>
      <c r="EHV1223" s="4"/>
      <c r="EHW1223" s="4"/>
      <c r="EHX1223" s="18"/>
      <c r="EHY1223" s="3"/>
      <c r="EHZ1223" s="4"/>
      <c r="EIA1223" s="4"/>
      <c r="EIB1223" s="18"/>
      <c r="EIC1223" s="3"/>
      <c r="EID1223" s="4"/>
      <c r="EIE1223" s="4"/>
      <c r="EIF1223" s="18"/>
      <c r="EIG1223" s="3"/>
      <c r="EIH1223" s="4"/>
      <c r="EII1223" s="4"/>
      <c r="EIJ1223" s="18"/>
      <c r="EIK1223" s="3"/>
      <c r="EIL1223" s="4"/>
      <c r="EIM1223" s="4"/>
      <c r="EIN1223" s="18"/>
      <c r="EIO1223" s="3"/>
      <c r="EIP1223" s="4"/>
      <c r="EIQ1223" s="4"/>
      <c r="EIR1223" s="18"/>
      <c r="EIS1223" s="3"/>
      <c r="EIT1223" s="4"/>
      <c r="EIU1223" s="4"/>
      <c r="EIV1223" s="18"/>
      <c r="EIW1223" s="3"/>
      <c r="EIX1223" s="4"/>
      <c r="EIY1223" s="4"/>
      <c r="EIZ1223" s="18"/>
      <c r="EJA1223" s="3"/>
      <c r="EJB1223" s="4"/>
      <c r="EJC1223" s="4"/>
      <c r="EJD1223" s="18"/>
      <c r="EJE1223" s="3"/>
      <c r="EJF1223" s="4"/>
      <c r="EJG1223" s="4"/>
      <c r="EJH1223" s="18"/>
      <c r="EJI1223" s="3"/>
      <c r="EJJ1223" s="4"/>
      <c r="EJK1223" s="4"/>
      <c r="EJL1223" s="18"/>
      <c r="EJM1223" s="3"/>
      <c r="EJN1223" s="4"/>
      <c r="EJO1223" s="4"/>
      <c r="EJP1223" s="18"/>
      <c r="EJQ1223" s="3"/>
      <c r="EJR1223" s="4"/>
      <c r="EJS1223" s="4"/>
      <c r="EJT1223" s="18"/>
      <c r="EJU1223" s="3"/>
      <c r="EJV1223" s="4"/>
      <c r="EJW1223" s="4"/>
      <c r="EJX1223" s="18"/>
      <c r="EJY1223" s="3"/>
      <c r="EJZ1223" s="4"/>
      <c r="EKA1223" s="4"/>
      <c r="EKB1223" s="18"/>
      <c r="EKC1223" s="3"/>
      <c r="EKD1223" s="4"/>
      <c r="EKE1223" s="4"/>
      <c r="EKF1223" s="18"/>
      <c r="EKG1223" s="3"/>
      <c r="EKH1223" s="4"/>
      <c r="EKI1223" s="4"/>
      <c r="EKJ1223" s="18"/>
      <c r="EKK1223" s="3"/>
      <c r="EKL1223" s="4"/>
      <c r="EKM1223" s="4"/>
      <c r="EKN1223" s="18"/>
      <c r="EKO1223" s="3"/>
      <c r="EKP1223" s="4"/>
      <c r="EKQ1223" s="4"/>
      <c r="EKR1223" s="18"/>
      <c r="EKS1223" s="3"/>
      <c r="EKT1223" s="4"/>
      <c r="EKU1223" s="4"/>
      <c r="EKV1223" s="18"/>
      <c r="EKW1223" s="3"/>
      <c r="EKX1223" s="4"/>
      <c r="EKY1223" s="4"/>
      <c r="EKZ1223" s="18"/>
      <c r="ELA1223" s="3"/>
      <c r="ELB1223" s="4"/>
      <c r="ELC1223" s="4"/>
      <c r="ELD1223" s="18"/>
      <c r="ELE1223" s="3"/>
      <c r="ELF1223" s="4"/>
      <c r="ELG1223" s="4"/>
      <c r="ELH1223" s="18"/>
      <c r="ELI1223" s="3"/>
      <c r="ELJ1223" s="4"/>
      <c r="ELK1223" s="4"/>
      <c r="ELL1223" s="18"/>
      <c r="ELM1223" s="3"/>
      <c r="ELN1223" s="4"/>
      <c r="ELO1223" s="4"/>
      <c r="ELP1223" s="18"/>
      <c r="ELQ1223" s="3"/>
      <c r="ELR1223" s="4"/>
      <c r="ELS1223" s="4"/>
      <c r="ELT1223" s="18"/>
      <c r="ELU1223" s="3"/>
      <c r="ELV1223" s="4"/>
      <c r="ELW1223" s="4"/>
      <c r="ELX1223" s="18"/>
      <c r="ELY1223" s="3"/>
      <c r="ELZ1223" s="4"/>
      <c r="EMA1223" s="4"/>
      <c r="EMB1223" s="18"/>
      <c r="EMC1223" s="3"/>
      <c r="EMD1223" s="4"/>
      <c r="EME1223" s="4"/>
      <c r="EMF1223" s="18"/>
      <c r="EMG1223" s="3"/>
      <c r="EMH1223" s="4"/>
      <c r="EMI1223" s="4"/>
      <c r="EMJ1223" s="18"/>
      <c r="EMK1223" s="3"/>
      <c r="EML1223" s="4"/>
      <c r="EMM1223" s="4"/>
      <c r="EMN1223" s="18"/>
      <c r="EMO1223" s="3"/>
      <c r="EMP1223" s="4"/>
      <c r="EMQ1223" s="4"/>
      <c r="EMR1223" s="18"/>
      <c r="EMS1223" s="3"/>
      <c r="EMT1223" s="4"/>
      <c r="EMU1223" s="4"/>
      <c r="EMV1223" s="18"/>
      <c r="EMW1223" s="3"/>
      <c r="EMX1223" s="4"/>
      <c r="EMY1223" s="4"/>
      <c r="EMZ1223" s="18"/>
      <c r="ENA1223" s="3"/>
      <c r="ENB1223" s="4"/>
      <c r="ENC1223" s="4"/>
      <c r="END1223" s="18"/>
      <c r="ENE1223" s="3"/>
      <c r="ENF1223" s="4"/>
      <c r="ENG1223" s="4"/>
      <c r="ENH1223" s="18"/>
      <c r="ENI1223" s="3"/>
      <c r="ENJ1223" s="4"/>
      <c r="ENK1223" s="4"/>
      <c r="ENL1223" s="18"/>
      <c r="ENM1223" s="3"/>
      <c r="ENN1223" s="4"/>
      <c r="ENO1223" s="4"/>
      <c r="ENP1223" s="18"/>
      <c r="ENQ1223" s="3"/>
      <c r="ENR1223" s="4"/>
      <c r="ENS1223" s="4"/>
      <c r="ENT1223" s="18"/>
      <c r="ENU1223" s="3"/>
      <c r="ENV1223" s="4"/>
      <c r="ENW1223" s="4"/>
      <c r="ENX1223" s="18"/>
      <c r="ENY1223" s="3"/>
      <c r="ENZ1223" s="4"/>
      <c r="EOA1223" s="4"/>
      <c r="EOB1223" s="18"/>
      <c r="EOC1223" s="3"/>
      <c r="EOD1223" s="4"/>
      <c r="EOE1223" s="4"/>
      <c r="EOF1223" s="18"/>
      <c r="EOG1223" s="3"/>
      <c r="EOH1223" s="4"/>
      <c r="EOI1223" s="4"/>
      <c r="EOJ1223" s="18"/>
      <c r="EOK1223" s="3"/>
      <c r="EOL1223" s="4"/>
      <c r="EOM1223" s="4"/>
      <c r="EON1223" s="18"/>
      <c r="EOO1223" s="3"/>
      <c r="EOP1223" s="4"/>
      <c r="EOQ1223" s="4"/>
      <c r="EOR1223" s="18"/>
      <c r="EOS1223" s="3"/>
      <c r="EOT1223" s="4"/>
      <c r="EOU1223" s="4"/>
      <c r="EOV1223" s="18"/>
      <c r="EOW1223" s="3"/>
      <c r="EOX1223" s="4"/>
      <c r="EOY1223" s="4"/>
      <c r="EOZ1223" s="18"/>
      <c r="EPA1223" s="3"/>
      <c r="EPB1223" s="4"/>
      <c r="EPC1223" s="4"/>
      <c r="EPD1223" s="18"/>
      <c r="EPE1223" s="3"/>
      <c r="EPF1223" s="4"/>
      <c r="EPG1223" s="4"/>
      <c r="EPH1223" s="18"/>
      <c r="EPI1223" s="3"/>
      <c r="EPJ1223" s="4"/>
      <c r="EPK1223" s="4"/>
      <c r="EPL1223" s="18"/>
      <c r="EPM1223" s="3"/>
      <c r="EPN1223" s="4"/>
      <c r="EPO1223" s="4"/>
      <c r="EPP1223" s="18"/>
      <c r="EPQ1223" s="3"/>
      <c r="EPR1223" s="4"/>
      <c r="EPS1223" s="4"/>
      <c r="EPT1223" s="18"/>
      <c r="EPU1223" s="3"/>
      <c r="EPV1223" s="4"/>
      <c r="EPW1223" s="4"/>
      <c r="EPX1223" s="18"/>
      <c r="EPY1223" s="3"/>
      <c r="EPZ1223" s="4"/>
      <c r="EQA1223" s="4"/>
      <c r="EQB1223" s="18"/>
      <c r="EQC1223" s="3"/>
      <c r="EQD1223" s="4"/>
      <c r="EQE1223" s="4"/>
      <c r="EQF1223" s="18"/>
      <c r="EQG1223" s="3"/>
      <c r="EQH1223" s="4"/>
      <c r="EQI1223" s="4"/>
      <c r="EQJ1223" s="18"/>
      <c r="EQK1223" s="3"/>
      <c r="EQL1223" s="4"/>
      <c r="EQM1223" s="4"/>
      <c r="EQN1223" s="18"/>
      <c r="EQO1223" s="3"/>
      <c r="EQP1223" s="4"/>
      <c r="EQQ1223" s="4"/>
      <c r="EQR1223" s="18"/>
      <c r="EQS1223" s="3"/>
      <c r="EQT1223" s="4"/>
      <c r="EQU1223" s="4"/>
      <c r="EQV1223" s="18"/>
      <c r="EQW1223" s="3"/>
      <c r="EQX1223" s="4"/>
      <c r="EQY1223" s="4"/>
      <c r="EQZ1223" s="18"/>
      <c r="ERA1223" s="3"/>
      <c r="ERB1223" s="4"/>
      <c r="ERC1223" s="4"/>
      <c r="ERD1223" s="18"/>
      <c r="ERE1223" s="3"/>
      <c r="ERF1223" s="4"/>
      <c r="ERG1223" s="4"/>
      <c r="ERH1223" s="18"/>
      <c r="ERI1223" s="3"/>
      <c r="ERJ1223" s="4"/>
      <c r="ERK1223" s="4"/>
      <c r="ERL1223" s="18"/>
      <c r="ERM1223" s="3"/>
      <c r="ERN1223" s="4"/>
      <c r="ERO1223" s="4"/>
      <c r="ERP1223" s="18"/>
      <c r="ERQ1223" s="3"/>
      <c r="ERR1223" s="4"/>
      <c r="ERS1223" s="4"/>
      <c r="ERT1223" s="18"/>
      <c r="ERU1223" s="3"/>
      <c r="ERV1223" s="4"/>
      <c r="ERW1223" s="4"/>
      <c r="ERX1223" s="18"/>
      <c r="ERY1223" s="3"/>
      <c r="ERZ1223" s="4"/>
      <c r="ESA1223" s="4"/>
      <c r="ESB1223" s="18"/>
      <c r="ESC1223" s="3"/>
      <c r="ESD1223" s="4"/>
      <c r="ESE1223" s="4"/>
      <c r="ESF1223" s="18"/>
      <c r="ESG1223" s="3"/>
      <c r="ESH1223" s="4"/>
      <c r="ESI1223" s="4"/>
      <c r="ESJ1223" s="18"/>
      <c r="ESK1223" s="3"/>
      <c r="ESL1223" s="4"/>
      <c r="ESM1223" s="4"/>
      <c r="ESN1223" s="18"/>
      <c r="ESO1223" s="3"/>
      <c r="ESP1223" s="4"/>
      <c r="ESQ1223" s="4"/>
      <c r="ESR1223" s="18"/>
      <c r="ESS1223" s="3"/>
      <c r="EST1223" s="4"/>
      <c r="ESU1223" s="4"/>
      <c r="ESV1223" s="18"/>
      <c r="ESW1223" s="3"/>
      <c r="ESX1223" s="4"/>
      <c r="ESY1223" s="4"/>
      <c r="ESZ1223" s="18"/>
      <c r="ETA1223" s="3"/>
      <c r="ETB1223" s="4"/>
      <c r="ETC1223" s="4"/>
      <c r="ETD1223" s="18"/>
      <c r="ETE1223" s="3"/>
      <c r="ETF1223" s="4"/>
      <c r="ETG1223" s="4"/>
      <c r="ETH1223" s="18"/>
      <c r="ETI1223" s="3"/>
      <c r="ETJ1223" s="4"/>
      <c r="ETK1223" s="4"/>
      <c r="ETL1223" s="18"/>
      <c r="ETM1223" s="3"/>
      <c r="ETN1223" s="4"/>
      <c r="ETO1223" s="4"/>
      <c r="ETP1223" s="18"/>
      <c r="ETQ1223" s="3"/>
      <c r="ETR1223" s="4"/>
      <c r="ETS1223" s="4"/>
      <c r="ETT1223" s="18"/>
      <c r="ETU1223" s="3"/>
      <c r="ETV1223" s="4"/>
      <c r="ETW1223" s="4"/>
      <c r="ETX1223" s="18"/>
      <c r="ETY1223" s="3"/>
      <c r="ETZ1223" s="4"/>
      <c r="EUA1223" s="4"/>
      <c r="EUB1223" s="18"/>
      <c r="EUC1223" s="3"/>
      <c r="EUD1223" s="4"/>
      <c r="EUE1223" s="4"/>
      <c r="EUF1223" s="18"/>
      <c r="EUG1223" s="3"/>
      <c r="EUH1223" s="4"/>
      <c r="EUI1223" s="4"/>
      <c r="EUJ1223" s="18"/>
      <c r="EUK1223" s="3"/>
      <c r="EUL1223" s="4"/>
      <c r="EUM1223" s="4"/>
      <c r="EUN1223" s="18"/>
      <c r="EUO1223" s="3"/>
      <c r="EUP1223" s="4"/>
      <c r="EUQ1223" s="4"/>
      <c r="EUR1223" s="18"/>
      <c r="EUS1223" s="3"/>
      <c r="EUT1223" s="4"/>
      <c r="EUU1223" s="4"/>
      <c r="EUV1223" s="18"/>
      <c r="EUW1223" s="3"/>
      <c r="EUX1223" s="4"/>
      <c r="EUY1223" s="4"/>
      <c r="EUZ1223" s="18"/>
      <c r="EVA1223" s="3"/>
      <c r="EVB1223" s="4"/>
      <c r="EVC1223" s="4"/>
      <c r="EVD1223" s="18"/>
      <c r="EVE1223" s="3"/>
      <c r="EVF1223" s="4"/>
      <c r="EVG1223" s="4"/>
      <c r="EVH1223" s="18"/>
      <c r="EVI1223" s="3"/>
      <c r="EVJ1223" s="4"/>
      <c r="EVK1223" s="4"/>
      <c r="EVL1223" s="18"/>
      <c r="EVM1223" s="3"/>
      <c r="EVN1223" s="4"/>
      <c r="EVO1223" s="4"/>
      <c r="EVP1223" s="18"/>
      <c r="EVQ1223" s="3"/>
      <c r="EVR1223" s="4"/>
      <c r="EVS1223" s="4"/>
      <c r="EVT1223" s="18"/>
      <c r="EVU1223" s="3"/>
      <c r="EVV1223" s="4"/>
      <c r="EVW1223" s="4"/>
      <c r="EVX1223" s="18"/>
      <c r="EVY1223" s="3"/>
      <c r="EVZ1223" s="4"/>
      <c r="EWA1223" s="4"/>
      <c r="EWB1223" s="18"/>
      <c r="EWC1223" s="3"/>
      <c r="EWD1223" s="4"/>
      <c r="EWE1223" s="4"/>
      <c r="EWF1223" s="18"/>
      <c r="EWG1223" s="3"/>
      <c r="EWH1223" s="4"/>
      <c r="EWI1223" s="4"/>
      <c r="EWJ1223" s="18"/>
      <c r="EWK1223" s="3"/>
      <c r="EWL1223" s="4"/>
      <c r="EWM1223" s="4"/>
      <c r="EWN1223" s="18"/>
      <c r="EWO1223" s="3"/>
      <c r="EWP1223" s="4"/>
      <c r="EWQ1223" s="4"/>
      <c r="EWR1223" s="18"/>
      <c r="EWS1223" s="3"/>
      <c r="EWT1223" s="4"/>
      <c r="EWU1223" s="4"/>
      <c r="EWV1223" s="18"/>
      <c r="EWW1223" s="3"/>
      <c r="EWX1223" s="4"/>
      <c r="EWY1223" s="4"/>
      <c r="EWZ1223" s="18"/>
      <c r="EXA1223" s="3"/>
      <c r="EXB1223" s="4"/>
      <c r="EXC1223" s="4"/>
      <c r="EXD1223" s="18"/>
      <c r="EXE1223" s="3"/>
      <c r="EXF1223" s="4"/>
      <c r="EXG1223" s="4"/>
      <c r="EXH1223" s="18"/>
      <c r="EXI1223" s="3"/>
      <c r="EXJ1223" s="4"/>
      <c r="EXK1223" s="4"/>
      <c r="EXL1223" s="18"/>
      <c r="EXM1223" s="3"/>
      <c r="EXN1223" s="4"/>
      <c r="EXO1223" s="4"/>
      <c r="EXP1223" s="18"/>
      <c r="EXQ1223" s="3"/>
      <c r="EXR1223" s="4"/>
      <c r="EXS1223" s="4"/>
      <c r="EXT1223" s="18"/>
      <c r="EXU1223" s="3"/>
      <c r="EXV1223" s="4"/>
      <c r="EXW1223" s="4"/>
      <c r="EXX1223" s="18"/>
      <c r="EXY1223" s="3"/>
      <c r="EXZ1223" s="4"/>
      <c r="EYA1223" s="4"/>
      <c r="EYB1223" s="18"/>
      <c r="EYC1223" s="3"/>
      <c r="EYD1223" s="4"/>
      <c r="EYE1223" s="4"/>
      <c r="EYF1223" s="18"/>
      <c r="EYG1223" s="3"/>
      <c r="EYH1223" s="4"/>
      <c r="EYI1223" s="4"/>
      <c r="EYJ1223" s="18"/>
      <c r="EYK1223" s="3"/>
      <c r="EYL1223" s="4"/>
      <c r="EYM1223" s="4"/>
      <c r="EYN1223" s="18"/>
      <c r="EYO1223" s="3"/>
      <c r="EYP1223" s="4"/>
      <c r="EYQ1223" s="4"/>
      <c r="EYR1223" s="18"/>
      <c r="EYS1223" s="3"/>
      <c r="EYT1223" s="4"/>
      <c r="EYU1223" s="4"/>
      <c r="EYV1223" s="18"/>
      <c r="EYW1223" s="3"/>
      <c r="EYX1223" s="4"/>
      <c r="EYY1223" s="4"/>
      <c r="EYZ1223" s="18"/>
      <c r="EZA1223" s="3"/>
      <c r="EZB1223" s="4"/>
      <c r="EZC1223" s="4"/>
      <c r="EZD1223" s="18"/>
      <c r="EZE1223" s="3"/>
      <c r="EZF1223" s="4"/>
      <c r="EZG1223" s="4"/>
      <c r="EZH1223" s="18"/>
      <c r="EZI1223" s="3"/>
      <c r="EZJ1223" s="4"/>
      <c r="EZK1223" s="4"/>
      <c r="EZL1223" s="18"/>
      <c r="EZM1223" s="3"/>
      <c r="EZN1223" s="4"/>
      <c r="EZO1223" s="4"/>
      <c r="EZP1223" s="18"/>
      <c r="EZQ1223" s="3"/>
      <c r="EZR1223" s="4"/>
      <c r="EZS1223" s="4"/>
      <c r="EZT1223" s="18"/>
      <c r="EZU1223" s="3"/>
      <c r="EZV1223" s="4"/>
      <c r="EZW1223" s="4"/>
      <c r="EZX1223" s="18"/>
      <c r="EZY1223" s="3"/>
      <c r="EZZ1223" s="4"/>
      <c r="FAA1223" s="4"/>
      <c r="FAB1223" s="18"/>
      <c r="FAC1223" s="3"/>
      <c r="FAD1223" s="4"/>
      <c r="FAE1223" s="4"/>
      <c r="FAF1223" s="18"/>
      <c r="FAG1223" s="3"/>
      <c r="FAH1223" s="4"/>
      <c r="FAI1223" s="4"/>
      <c r="FAJ1223" s="18"/>
      <c r="FAK1223" s="3"/>
      <c r="FAL1223" s="4"/>
      <c r="FAM1223" s="4"/>
      <c r="FAN1223" s="18"/>
      <c r="FAO1223" s="3"/>
      <c r="FAP1223" s="4"/>
      <c r="FAQ1223" s="4"/>
      <c r="FAR1223" s="18"/>
      <c r="FAS1223" s="3"/>
      <c r="FAT1223" s="4"/>
      <c r="FAU1223" s="4"/>
      <c r="FAV1223" s="18"/>
      <c r="FAW1223" s="3"/>
      <c r="FAX1223" s="4"/>
      <c r="FAY1223" s="4"/>
      <c r="FAZ1223" s="18"/>
      <c r="FBA1223" s="3"/>
      <c r="FBB1223" s="4"/>
      <c r="FBC1223" s="4"/>
      <c r="FBD1223" s="18"/>
      <c r="FBE1223" s="3"/>
      <c r="FBF1223" s="4"/>
      <c r="FBG1223" s="4"/>
      <c r="FBH1223" s="18"/>
      <c r="FBI1223" s="3"/>
      <c r="FBJ1223" s="4"/>
      <c r="FBK1223" s="4"/>
      <c r="FBL1223" s="18"/>
      <c r="FBM1223" s="3"/>
      <c r="FBN1223" s="4"/>
      <c r="FBO1223" s="4"/>
      <c r="FBP1223" s="18"/>
      <c r="FBQ1223" s="3"/>
      <c r="FBR1223" s="4"/>
      <c r="FBS1223" s="4"/>
      <c r="FBT1223" s="18"/>
      <c r="FBU1223" s="3"/>
      <c r="FBV1223" s="4"/>
      <c r="FBW1223" s="4"/>
      <c r="FBX1223" s="18"/>
      <c r="FBY1223" s="3"/>
      <c r="FBZ1223" s="4"/>
      <c r="FCA1223" s="4"/>
      <c r="FCB1223" s="18"/>
      <c r="FCC1223" s="3"/>
      <c r="FCD1223" s="4"/>
      <c r="FCE1223" s="4"/>
      <c r="FCF1223" s="18"/>
      <c r="FCG1223" s="3"/>
      <c r="FCH1223" s="4"/>
      <c r="FCI1223" s="4"/>
      <c r="FCJ1223" s="18"/>
      <c r="FCK1223" s="3"/>
      <c r="FCL1223" s="4"/>
      <c r="FCM1223" s="4"/>
      <c r="FCN1223" s="18"/>
      <c r="FCO1223" s="3"/>
      <c r="FCP1223" s="4"/>
      <c r="FCQ1223" s="4"/>
      <c r="FCR1223" s="18"/>
      <c r="FCS1223" s="3"/>
      <c r="FCT1223" s="4"/>
      <c r="FCU1223" s="4"/>
      <c r="FCV1223" s="18"/>
      <c r="FCW1223" s="3"/>
      <c r="FCX1223" s="4"/>
      <c r="FCY1223" s="4"/>
      <c r="FCZ1223" s="18"/>
      <c r="FDA1223" s="3"/>
      <c r="FDB1223" s="4"/>
      <c r="FDC1223" s="4"/>
      <c r="FDD1223" s="18"/>
      <c r="FDE1223" s="3"/>
      <c r="FDF1223" s="4"/>
      <c r="FDG1223" s="4"/>
      <c r="FDH1223" s="18"/>
      <c r="FDI1223" s="3"/>
      <c r="FDJ1223" s="4"/>
      <c r="FDK1223" s="4"/>
      <c r="FDL1223" s="18"/>
      <c r="FDM1223" s="3"/>
      <c r="FDN1223" s="4"/>
      <c r="FDO1223" s="4"/>
      <c r="FDP1223" s="18"/>
      <c r="FDQ1223" s="3"/>
      <c r="FDR1223" s="4"/>
      <c r="FDS1223" s="4"/>
      <c r="FDT1223" s="18"/>
      <c r="FDU1223" s="3"/>
      <c r="FDV1223" s="4"/>
      <c r="FDW1223" s="4"/>
      <c r="FDX1223" s="18"/>
      <c r="FDY1223" s="3"/>
      <c r="FDZ1223" s="4"/>
      <c r="FEA1223" s="4"/>
      <c r="FEB1223" s="18"/>
      <c r="FEC1223" s="3"/>
      <c r="FED1223" s="4"/>
      <c r="FEE1223" s="4"/>
      <c r="FEF1223" s="18"/>
      <c r="FEG1223" s="3"/>
      <c r="FEH1223" s="4"/>
      <c r="FEI1223" s="4"/>
      <c r="FEJ1223" s="18"/>
      <c r="FEK1223" s="3"/>
      <c r="FEL1223" s="4"/>
      <c r="FEM1223" s="4"/>
      <c r="FEN1223" s="18"/>
      <c r="FEO1223" s="3"/>
      <c r="FEP1223" s="4"/>
      <c r="FEQ1223" s="4"/>
      <c r="FER1223" s="18"/>
      <c r="FES1223" s="3"/>
      <c r="FET1223" s="4"/>
      <c r="FEU1223" s="4"/>
      <c r="FEV1223" s="18"/>
      <c r="FEW1223" s="3"/>
      <c r="FEX1223" s="4"/>
      <c r="FEY1223" s="4"/>
      <c r="FEZ1223" s="18"/>
      <c r="FFA1223" s="3"/>
      <c r="FFB1223" s="4"/>
      <c r="FFC1223" s="4"/>
      <c r="FFD1223" s="18"/>
      <c r="FFE1223" s="3"/>
      <c r="FFF1223" s="4"/>
      <c r="FFG1223" s="4"/>
      <c r="FFH1223" s="18"/>
      <c r="FFI1223" s="3"/>
      <c r="FFJ1223" s="4"/>
      <c r="FFK1223" s="4"/>
      <c r="FFL1223" s="18"/>
      <c r="FFM1223" s="3"/>
      <c r="FFN1223" s="4"/>
      <c r="FFO1223" s="4"/>
      <c r="FFP1223" s="18"/>
      <c r="FFQ1223" s="3"/>
      <c r="FFR1223" s="4"/>
      <c r="FFS1223" s="4"/>
      <c r="FFT1223" s="18"/>
      <c r="FFU1223" s="3"/>
      <c r="FFV1223" s="4"/>
      <c r="FFW1223" s="4"/>
      <c r="FFX1223" s="18"/>
      <c r="FFY1223" s="3"/>
      <c r="FFZ1223" s="4"/>
      <c r="FGA1223" s="4"/>
      <c r="FGB1223" s="18"/>
      <c r="FGC1223" s="3"/>
      <c r="FGD1223" s="4"/>
      <c r="FGE1223" s="4"/>
      <c r="FGF1223" s="18"/>
      <c r="FGG1223" s="3"/>
      <c r="FGH1223" s="4"/>
      <c r="FGI1223" s="4"/>
      <c r="FGJ1223" s="18"/>
      <c r="FGK1223" s="3"/>
      <c r="FGL1223" s="4"/>
      <c r="FGM1223" s="4"/>
      <c r="FGN1223" s="18"/>
      <c r="FGO1223" s="3"/>
      <c r="FGP1223" s="4"/>
      <c r="FGQ1223" s="4"/>
      <c r="FGR1223" s="18"/>
      <c r="FGS1223" s="3"/>
      <c r="FGT1223" s="4"/>
      <c r="FGU1223" s="4"/>
      <c r="FGV1223" s="18"/>
      <c r="FGW1223" s="3"/>
      <c r="FGX1223" s="4"/>
      <c r="FGY1223" s="4"/>
      <c r="FGZ1223" s="18"/>
      <c r="FHA1223" s="3"/>
      <c r="FHB1223" s="4"/>
      <c r="FHC1223" s="4"/>
      <c r="FHD1223" s="18"/>
      <c r="FHE1223" s="3"/>
      <c r="FHF1223" s="4"/>
      <c r="FHG1223" s="4"/>
      <c r="FHH1223" s="18"/>
      <c r="FHI1223" s="3"/>
      <c r="FHJ1223" s="4"/>
      <c r="FHK1223" s="4"/>
      <c r="FHL1223" s="18"/>
      <c r="FHM1223" s="3"/>
      <c r="FHN1223" s="4"/>
      <c r="FHO1223" s="4"/>
      <c r="FHP1223" s="18"/>
      <c r="FHQ1223" s="3"/>
      <c r="FHR1223" s="4"/>
      <c r="FHS1223" s="4"/>
      <c r="FHT1223" s="18"/>
      <c r="FHU1223" s="3"/>
      <c r="FHV1223" s="4"/>
      <c r="FHW1223" s="4"/>
      <c r="FHX1223" s="18"/>
      <c r="FHY1223" s="3"/>
      <c r="FHZ1223" s="4"/>
      <c r="FIA1223" s="4"/>
      <c r="FIB1223" s="18"/>
      <c r="FIC1223" s="3"/>
      <c r="FID1223" s="4"/>
      <c r="FIE1223" s="4"/>
      <c r="FIF1223" s="18"/>
      <c r="FIG1223" s="3"/>
      <c r="FIH1223" s="4"/>
      <c r="FII1223" s="4"/>
      <c r="FIJ1223" s="18"/>
      <c r="FIK1223" s="3"/>
      <c r="FIL1223" s="4"/>
      <c r="FIM1223" s="4"/>
      <c r="FIN1223" s="18"/>
      <c r="FIO1223" s="3"/>
      <c r="FIP1223" s="4"/>
      <c r="FIQ1223" s="4"/>
      <c r="FIR1223" s="18"/>
      <c r="FIS1223" s="3"/>
      <c r="FIT1223" s="4"/>
      <c r="FIU1223" s="4"/>
      <c r="FIV1223" s="18"/>
      <c r="FIW1223" s="3"/>
      <c r="FIX1223" s="4"/>
      <c r="FIY1223" s="4"/>
      <c r="FIZ1223" s="18"/>
      <c r="FJA1223" s="3"/>
      <c r="FJB1223" s="4"/>
      <c r="FJC1223" s="4"/>
      <c r="FJD1223" s="18"/>
      <c r="FJE1223" s="3"/>
      <c r="FJF1223" s="4"/>
      <c r="FJG1223" s="4"/>
      <c r="FJH1223" s="18"/>
      <c r="FJI1223" s="3"/>
      <c r="FJJ1223" s="4"/>
      <c r="FJK1223" s="4"/>
      <c r="FJL1223" s="18"/>
      <c r="FJM1223" s="3"/>
      <c r="FJN1223" s="4"/>
      <c r="FJO1223" s="4"/>
      <c r="FJP1223" s="18"/>
      <c r="FJQ1223" s="3"/>
      <c r="FJR1223" s="4"/>
      <c r="FJS1223" s="4"/>
      <c r="FJT1223" s="18"/>
      <c r="FJU1223" s="3"/>
      <c r="FJV1223" s="4"/>
      <c r="FJW1223" s="4"/>
      <c r="FJX1223" s="18"/>
      <c r="FJY1223" s="3"/>
      <c r="FJZ1223" s="4"/>
      <c r="FKA1223" s="4"/>
      <c r="FKB1223" s="18"/>
      <c r="FKC1223" s="3"/>
      <c r="FKD1223" s="4"/>
      <c r="FKE1223" s="4"/>
      <c r="FKF1223" s="18"/>
      <c r="FKG1223" s="3"/>
      <c r="FKH1223" s="4"/>
      <c r="FKI1223" s="4"/>
      <c r="FKJ1223" s="18"/>
      <c r="FKK1223" s="3"/>
      <c r="FKL1223" s="4"/>
      <c r="FKM1223" s="4"/>
      <c r="FKN1223" s="18"/>
      <c r="FKO1223" s="3"/>
      <c r="FKP1223" s="4"/>
      <c r="FKQ1223" s="4"/>
      <c r="FKR1223" s="18"/>
      <c r="FKS1223" s="3"/>
      <c r="FKT1223" s="4"/>
      <c r="FKU1223" s="4"/>
      <c r="FKV1223" s="18"/>
      <c r="FKW1223" s="3"/>
      <c r="FKX1223" s="4"/>
      <c r="FKY1223" s="4"/>
      <c r="FKZ1223" s="18"/>
      <c r="FLA1223" s="3"/>
      <c r="FLB1223" s="4"/>
      <c r="FLC1223" s="4"/>
      <c r="FLD1223" s="18"/>
      <c r="FLE1223" s="3"/>
      <c r="FLF1223" s="4"/>
      <c r="FLG1223" s="4"/>
      <c r="FLH1223" s="18"/>
      <c r="FLI1223" s="3"/>
      <c r="FLJ1223" s="4"/>
      <c r="FLK1223" s="4"/>
      <c r="FLL1223" s="18"/>
      <c r="FLM1223" s="3"/>
      <c r="FLN1223" s="4"/>
      <c r="FLO1223" s="4"/>
      <c r="FLP1223" s="18"/>
      <c r="FLQ1223" s="3"/>
      <c r="FLR1223" s="4"/>
      <c r="FLS1223" s="4"/>
      <c r="FLT1223" s="18"/>
      <c r="FLU1223" s="3"/>
      <c r="FLV1223" s="4"/>
      <c r="FLW1223" s="4"/>
      <c r="FLX1223" s="18"/>
      <c r="FLY1223" s="3"/>
      <c r="FLZ1223" s="4"/>
      <c r="FMA1223" s="4"/>
      <c r="FMB1223" s="18"/>
      <c r="FMC1223" s="3"/>
      <c r="FMD1223" s="4"/>
      <c r="FME1223" s="4"/>
      <c r="FMF1223" s="18"/>
      <c r="FMG1223" s="3"/>
      <c r="FMH1223" s="4"/>
      <c r="FMI1223" s="4"/>
      <c r="FMJ1223" s="18"/>
      <c r="FMK1223" s="3"/>
      <c r="FML1223" s="4"/>
      <c r="FMM1223" s="4"/>
      <c r="FMN1223" s="18"/>
      <c r="FMO1223" s="3"/>
      <c r="FMP1223" s="4"/>
      <c r="FMQ1223" s="4"/>
      <c r="FMR1223" s="18"/>
      <c r="FMS1223" s="3"/>
      <c r="FMT1223" s="4"/>
      <c r="FMU1223" s="4"/>
      <c r="FMV1223" s="18"/>
      <c r="FMW1223" s="3"/>
      <c r="FMX1223" s="4"/>
      <c r="FMY1223" s="4"/>
      <c r="FMZ1223" s="18"/>
      <c r="FNA1223" s="3"/>
      <c r="FNB1223" s="4"/>
      <c r="FNC1223" s="4"/>
      <c r="FND1223" s="18"/>
      <c r="FNE1223" s="3"/>
      <c r="FNF1223" s="4"/>
      <c r="FNG1223" s="4"/>
      <c r="FNH1223" s="18"/>
      <c r="FNI1223" s="3"/>
      <c r="FNJ1223" s="4"/>
      <c r="FNK1223" s="4"/>
      <c r="FNL1223" s="18"/>
      <c r="FNM1223" s="3"/>
      <c r="FNN1223" s="4"/>
      <c r="FNO1223" s="4"/>
      <c r="FNP1223" s="18"/>
      <c r="FNQ1223" s="3"/>
      <c r="FNR1223" s="4"/>
      <c r="FNS1223" s="4"/>
      <c r="FNT1223" s="18"/>
      <c r="FNU1223" s="3"/>
      <c r="FNV1223" s="4"/>
      <c r="FNW1223" s="4"/>
      <c r="FNX1223" s="18"/>
      <c r="FNY1223" s="3"/>
      <c r="FNZ1223" s="4"/>
      <c r="FOA1223" s="4"/>
      <c r="FOB1223" s="18"/>
      <c r="FOC1223" s="3"/>
      <c r="FOD1223" s="4"/>
      <c r="FOE1223" s="4"/>
      <c r="FOF1223" s="18"/>
      <c r="FOG1223" s="3"/>
      <c r="FOH1223" s="4"/>
      <c r="FOI1223" s="4"/>
      <c r="FOJ1223" s="18"/>
      <c r="FOK1223" s="3"/>
      <c r="FOL1223" s="4"/>
      <c r="FOM1223" s="4"/>
      <c r="FON1223" s="18"/>
      <c r="FOO1223" s="3"/>
      <c r="FOP1223" s="4"/>
      <c r="FOQ1223" s="4"/>
      <c r="FOR1223" s="18"/>
      <c r="FOS1223" s="3"/>
      <c r="FOT1223" s="4"/>
      <c r="FOU1223" s="4"/>
      <c r="FOV1223" s="18"/>
      <c r="FOW1223" s="3"/>
      <c r="FOX1223" s="4"/>
      <c r="FOY1223" s="4"/>
      <c r="FOZ1223" s="18"/>
      <c r="FPA1223" s="3"/>
      <c r="FPB1223" s="4"/>
      <c r="FPC1223" s="4"/>
      <c r="FPD1223" s="18"/>
      <c r="FPE1223" s="3"/>
      <c r="FPF1223" s="4"/>
      <c r="FPG1223" s="4"/>
      <c r="FPH1223" s="18"/>
      <c r="FPI1223" s="3"/>
      <c r="FPJ1223" s="4"/>
      <c r="FPK1223" s="4"/>
      <c r="FPL1223" s="18"/>
      <c r="FPM1223" s="3"/>
      <c r="FPN1223" s="4"/>
      <c r="FPO1223" s="4"/>
      <c r="FPP1223" s="18"/>
      <c r="FPQ1223" s="3"/>
      <c r="FPR1223" s="4"/>
      <c r="FPS1223" s="4"/>
      <c r="FPT1223" s="18"/>
      <c r="FPU1223" s="3"/>
      <c r="FPV1223" s="4"/>
      <c r="FPW1223" s="4"/>
      <c r="FPX1223" s="18"/>
      <c r="FPY1223" s="3"/>
      <c r="FPZ1223" s="4"/>
      <c r="FQA1223" s="4"/>
      <c r="FQB1223" s="18"/>
      <c r="FQC1223" s="3"/>
      <c r="FQD1223" s="4"/>
      <c r="FQE1223" s="4"/>
      <c r="FQF1223" s="18"/>
      <c r="FQG1223" s="3"/>
      <c r="FQH1223" s="4"/>
      <c r="FQI1223" s="4"/>
      <c r="FQJ1223" s="18"/>
      <c r="FQK1223" s="3"/>
      <c r="FQL1223" s="4"/>
      <c r="FQM1223" s="4"/>
      <c r="FQN1223" s="18"/>
      <c r="FQO1223" s="3"/>
      <c r="FQP1223" s="4"/>
      <c r="FQQ1223" s="4"/>
      <c r="FQR1223" s="18"/>
      <c r="FQS1223" s="3"/>
      <c r="FQT1223" s="4"/>
      <c r="FQU1223" s="4"/>
      <c r="FQV1223" s="18"/>
      <c r="FQW1223" s="3"/>
      <c r="FQX1223" s="4"/>
      <c r="FQY1223" s="4"/>
      <c r="FQZ1223" s="18"/>
      <c r="FRA1223" s="3"/>
      <c r="FRB1223" s="4"/>
      <c r="FRC1223" s="4"/>
      <c r="FRD1223" s="18"/>
      <c r="FRE1223" s="3"/>
      <c r="FRF1223" s="4"/>
      <c r="FRG1223" s="4"/>
      <c r="FRH1223" s="18"/>
      <c r="FRI1223" s="3"/>
      <c r="FRJ1223" s="4"/>
      <c r="FRK1223" s="4"/>
      <c r="FRL1223" s="18"/>
      <c r="FRM1223" s="3"/>
      <c r="FRN1223" s="4"/>
      <c r="FRO1223" s="4"/>
      <c r="FRP1223" s="18"/>
      <c r="FRQ1223" s="3"/>
      <c r="FRR1223" s="4"/>
      <c r="FRS1223" s="4"/>
      <c r="FRT1223" s="18"/>
      <c r="FRU1223" s="3"/>
      <c r="FRV1223" s="4"/>
      <c r="FRW1223" s="4"/>
      <c r="FRX1223" s="18"/>
      <c r="FRY1223" s="3"/>
      <c r="FRZ1223" s="4"/>
      <c r="FSA1223" s="4"/>
      <c r="FSB1223" s="18"/>
      <c r="FSC1223" s="3"/>
      <c r="FSD1223" s="4"/>
      <c r="FSE1223" s="4"/>
      <c r="FSF1223" s="18"/>
      <c r="FSG1223" s="3"/>
      <c r="FSH1223" s="4"/>
      <c r="FSI1223" s="4"/>
      <c r="FSJ1223" s="18"/>
      <c r="FSK1223" s="3"/>
      <c r="FSL1223" s="4"/>
      <c r="FSM1223" s="4"/>
      <c r="FSN1223" s="18"/>
      <c r="FSO1223" s="3"/>
      <c r="FSP1223" s="4"/>
      <c r="FSQ1223" s="4"/>
      <c r="FSR1223" s="18"/>
      <c r="FSS1223" s="3"/>
      <c r="FST1223" s="4"/>
      <c r="FSU1223" s="4"/>
      <c r="FSV1223" s="18"/>
      <c r="FSW1223" s="3"/>
      <c r="FSX1223" s="4"/>
      <c r="FSY1223" s="4"/>
      <c r="FSZ1223" s="18"/>
      <c r="FTA1223" s="3"/>
      <c r="FTB1223" s="4"/>
      <c r="FTC1223" s="4"/>
      <c r="FTD1223" s="18"/>
      <c r="FTE1223" s="3"/>
      <c r="FTF1223" s="4"/>
      <c r="FTG1223" s="4"/>
      <c r="FTH1223" s="18"/>
      <c r="FTI1223" s="3"/>
      <c r="FTJ1223" s="4"/>
      <c r="FTK1223" s="4"/>
      <c r="FTL1223" s="18"/>
      <c r="FTM1223" s="3"/>
      <c r="FTN1223" s="4"/>
      <c r="FTO1223" s="4"/>
      <c r="FTP1223" s="18"/>
      <c r="FTQ1223" s="3"/>
      <c r="FTR1223" s="4"/>
      <c r="FTS1223" s="4"/>
      <c r="FTT1223" s="18"/>
      <c r="FTU1223" s="3"/>
      <c r="FTV1223" s="4"/>
      <c r="FTW1223" s="4"/>
      <c r="FTX1223" s="18"/>
      <c r="FTY1223" s="3"/>
      <c r="FTZ1223" s="4"/>
      <c r="FUA1223" s="4"/>
      <c r="FUB1223" s="18"/>
      <c r="FUC1223" s="3"/>
      <c r="FUD1223" s="4"/>
      <c r="FUE1223" s="4"/>
      <c r="FUF1223" s="18"/>
      <c r="FUG1223" s="3"/>
      <c r="FUH1223" s="4"/>
      <c r="FUI1223" s="4"/>
      <c r="FUJ1223" s="18"/>
      <c r="FUK1223" s="3"/>
      <c r="FUL1223" s="4"/>
      <c r="FUM1223" s="4"/>
      <c r="FUN1223" s="18"/>
      <c r="FUO1223" s="3"/>
      <c r="FUP1223" s="4"/>
      <c r="FUQ1223" s="4"/>
      <c r="FUR1223" s="18"/>
      <c r="FUS1223" s="3"/>
      <c r="FUT1223" s="4"/>
      <c r="FUU1223" s="4"/>
      <c r="FUV1223" s="18"/>
      <c r="FUW1223" s="3"/>
      <c r="FUX1223" s="4"/>
      <c r="FUY1223" s="4"/>
      <c r="FUZ1223" s="18"/>
      <c r="FVA1223" s="3"/>
      <c r="FVB1223" s="4"/>
      <c r="FVC1223" s="4"/>
      <c r="FVD1223" s="18"/>
      <c r="FVE1223" s="3"/>
      <c r="FVF1223" s="4"/>
      <c r="FVG1223" s="4"/>
      <c r="FVH1223" s="18"/>
      <c r="FVI1223" s="3"/>
      <c r="FVJ1223" s="4"/>
      <c r="FVK1223" s="4"/>
      <c r="FVL1223" s="18"/>
      <c r="FVM1223" s="3"/>
      <c r="FVN1223" s="4"/>
      <c r="FVO1223" s="4"/>
      <c r="FVP1223" s="18"/>
      <c r="FVQ1223" s="3"/>
      <c r="FVR1223" s="4"/>
      <c r="FVS1223" s="4"/>
      <c r="FVT1223" s="18"/>
      <c r="FVU1223" s="3"/>
      <c r="FVV1223" s="4"/>
      <c r="FVW1223" s="4"/>
      <c r="FVX1223" s="18"/>
      <c r="FVY1223" s="3"/>
      <c r="FVZ1223" s="4"/>
      <c r="FWA1223" s="4"/>
      <c r="FWB1223" s="18"/>
      <c r="FWC1223" s="3"/>
      <c r="FWD1223" s="4"/>
      <c r="FWE1223" s="4"/>
      <c r="FWF1223" s="18"/>
      <c r="FWG1223" s="3"/>
      <c r="FWH1223" s="4"/>
      <c r="FWI1223" s="4"/>
      <c r="FWJ1223" s="18"/>
      <c r="FWK1223" s="3"/>
      <c r="FWL1223" s="4"/>
      <c r="FWM1223" s="4"/>
      <c r="FWN1223" s="18"/>
      <c r="FWO1223" s="3"/>
      <c r="FWP1223" s="4"/>
      <c r="FWQ1223" s="4"/>
      <c r="FWR1223" s="18"/>
      <c r="FWS1223" s="3"/>
      <c r="FWT1223" s="4"/>
      <c r="FWU1223" s="4"/>
      <c r="FWV1223" s="18"/>
      <c r="FWW1223" s="3"/>
      <c r="FWX1223" s="4"/>
      <c r="FWY1223" s="4"/>
      <c r="FWZ1223" s="18"/>
      <c r="FXA1223" s="3"/>
      <c r="FXB1223" s="4"/>
      <c r="FXC1223" s="4"/>
      <c r="FXD1223" s="18"/>
      <c r="FXE1223" s="3"/>
      <c r="FXF1223" s="4"/>
      <c r="FXG1223" s="4"/>
      <c r="FXH1223" s="18"/>
      <c r="FXI1223" s="3"/>
      <c r="FXJ1223" s="4"/>
      <c r="FXK1223" s="4"/>
      <c r="FXL1223" s="18"/>
      <c r="FXM1223" s="3"/>
      <c r="FXN1223" s="4"/>
      <c r="FXO1223" s="4"/>
      <c r="FXP1223" s="18"/>
      <c r="FXQ1223" s="3"/>
      <c r="FXR1223" s="4"/>
      <c r="FXS1223" s="4"/>
      <c r="FXT1223" s="18"/>
      <c r="FXU1223" s="3"/>
      <c r="FXV1223" s="4"/>
      <c r="FXW1223" s="4"/>
      <c r="FXX1223" s="18"/>
      <c r="FXY1223" s="3"/>
      <c r="FXZ1223" s="4"/>
      <c r="FYA1223" s="4"/>
      <c r="FYB1223" s="18"/>
      <c r="FYC1223" s="3"/>
      <c r="FYD1223" s="4"/>
      <c r="FYE1223" s="4"/>
      <c r="FYF1223" s="18"/>
      <c r="FYG1223" s="3"/>
      <c r="FYH1223" s="4"/>
      <c r="FYI1223" s="4"/>
      <c r="FYJ1223" s="18"/>
      <c r="FYK1223" s="3"/>
      <c r="FYL1223" s="4"/>
      <c r="FYM1223" s="4"/>
      <c r="FYN1223" s="18"/>
      <c r="FYO1223" s="3"/>
      <c r="FYP1223" s="4"/>
      <c r="FYQ1223" s="4"/>
      <c r="FYR1223" s="18"/>
      <c r="FYS1223" s="3"/>
      <c r="FYT1223" s="4"/>
      <c r="FYU1223" s="4"/>
      <c r="FYV1223" s="18"/>
      <c r="FYW1223" s="3"/>
      <c r="FYX1223" s="4"/>
      <c r="FYY1223" s="4"/>
      <c r="FYZ1223" s="18"/>
      <c r="FZA1223" s="3"/>
      <c r="FZB1223" s="4"/>
      <c r="FZC1223" s="4"/>
      <c r="FZD1223" s="18"/>
      <c r="FZE1223" s="3"/>
      <c r="FZF1223" s="4"/>
      <c r="FZG1223" s="4"/>
      <c r="FZH1223" s="18"/>
      <c r="FZI1223" s="3"/>
      <c r="FZJ1223" s="4"/>
      <c r="FZK1223" s="4"/>
      <c r="FZL1223" s="18"/>
      <c r="FZM1223" s="3"/>
      <c r="FZN1223" s="4"/>
      <c r="FZO1223" s="4"/>
      <c r="FZP1223" s="18"/>
      <c r="FZQ1223" s="3"/>
      <c r="FZR1223" s="4"/>
      <c r="FZS1223" s="4"/>
      <c r="FZT1223" s="18"/>
      <c r="FZU1223" s="3"/>
      <c r="FZV1223" s="4"/>
      <c r="FZW1223" s="4"/>
      <c r="FZX1223" s="18"/>
      <c r="FZY1223" s="3"/>
      <c r="FZZ1223" s="4"/>
      <c r="GAA1223" s="4"/>
      <c r="GAB1223" s="18"/>
      <c r="GAC1223" s="3"/>
      <c r="GAD1223" s="4"/>
      <c r="GAE1223" s="4"/>
      <c r="GAF1223" s="18"/>
      <c r="GAG1223" s="3"/>
      <c r="GAH1223" s="4"/>
      <c r="GAI1223" s="4"/>
      <c r="GAJ1223" s="18"/>
      <c r="GAK1223" s="3"/>
      <c r="GAL1223" s="4"/>
      <c r="GAM1223" s="4"/>
      <c r="GAN1223" s="18"/>
      <c r="GAO1223" s="3"/>
      <c r="GAP1223" s="4"/>
      <c r="GAQ1223" s="4"/>
      <c r="GAR1223" s="18"/>
      <c r="GAS1223" s="3"/>
      <c r="GAT1223" s="4"/>
      <c r="GAU1223" s="4"/>
      <c r="GAV1223" s="18"/>
      <c r="GAW1223" s="3"/>
      <c r="GAX1223" s="4"/>
      <c r="GAY1223" s="4"/>
      <c r="GAZ1223" s="18"/>
      <c r="GBA1223" s="3"/>
      <c r="GBB1223" s="4"/>
      <c r="GBC1223" s="4"/>
      <c r="GBD1223" s="18"/>
      <c r="GBE1223" s="3"/>
      <c r="GBF1223" s="4"/>
      <c r="GBG1223" s="4"/>
      <c r="GBH1223" s="18"/>
      <c r="GBI1223" s="3"/>
      <c r="GBJ1223" s="4"/>
      <c r="GBK1223" s="4"/>
      <c r="GBL1223" s="18"/>
      <c r="GBM1223" s="3"/>
      <c r="GBN1223" s="4"/>
      <c r="GBO1223" s="4"/>
      <c r="GBP1223" s="18"/>
      <c r="GBQ1223" s="3"/>
      <c r="GBR1223" s="4"/>
      <c r="GBS1223" s="4"/>
      <c r="GBT1223" s="18"/>
      <c r="GBU1223" s="3"/>
      <c r="GBV1223" s="4"/>
      <c r="GBW1223" s="4"/>
      <c r="GBX1223" s="18"/>
      <c r="GBY1223" s="3"/>
      <c r="GBZ1223" s="4"/>
      <c r="GCA1223" s="4"/>
      <c r="GCB1223" s="18"/>
      <c r="GCC1223" s="3"/>
      <c r="GCD1223" s="4"/>
      <c r="GCE1223" s="4"/>
      <c r="GCF1223" s="18"/>
      <c r="GCG1223" s="3"/>
      <c r="GCH1223" s="4"/>
      <c r="GCI1223" s="4"/>
      <c r="GCJ1223" s="18"/>
      <c r="GCK1223" s="3"/>
      <c r="GCL1223" s="4"/>
      <c r="GCM1223" s="4"/>
      <c r="GCN1223" s="18"/>
      <c r="GCO1223" s="3"/>
      <c r="GCP1223" s="4"/>
      <c r="GCQ1223" s="4"/>
      <c r="GCR1223" s="18"/>
      <c r="GCS1223" s="3"/>
      <c r="GCT1223" s="4"/>
      <c r="GCU1223" s="4"/>
      <c r="GCV1223" s="18"/>
      <c r="GCW1223" s="3"/>
      <c r="GCX1223" s="4"/>
      <c r="GCY1223" s="4"/>
      <c r="GCZ1223" s="18"/>
      <c r="GDA1223" s="3"/>
      <c r="GDB1223" s="4"/>
      <c r="GDC1223" s="4"/>
      <c r="GDD1223" s="18"/>
      <c r="GDE1223" s="3"/>
      <c r="GDF1223" s="4"/>
      <c r="GDG1223" s="4"/>
      <c r="GDH1223" s="18"/>
      <c r="GDI1223" s="3"/>
      <c r="GDJ1223" s="4"/>
      <c r="GDK1223" s="4"/>
      <c r="GDL1223" s="18"/>
      <c r="GDM1223" s="3"/>
      <c r="GDN1223" s="4"/>
      <c r="GDO1223" s="4"/>
      <c r="GDP1223" s="18"/>
      <c r="GDQ1223" s="3"/>
      <c r="GDR1223" s="4"/>
      <c r="GDS1223" s="4"/>
      <c r="GDT1223" s="18"/>
      <c r="GDU1223" s="3"/>
      <c r="GDV1223" s="4"/>
      <c r="GDW1223" s="4"/>
      <c r="GDX1223" s="18"/>
      <c r="GDY1223" s="3"/>
      <c r="GDZ1223" s="4"/>
      <c r="GEA1223" s="4"/>
      <c r="GEB1223" s="18"/>
      <c r="GEC1223" s="3"/>
      <c r="GED1223" s="4"/>
      <c r="GEE1223" s="4"/>
      <c r="GEF1223" s="18"/>
      <c r="GEG1223" s="3"/>
      <c r="GEH1223" s="4"/>
      <c r="GEI1223" s="4"/>
      <c r="GEJ1223" s="18"/>
      <c r="GEK1223" s="3"/>
      <c r="GEL1223" s="4"/>
      <c r="GEM1223" s="4"/>
      <c r="GEN1223" s="18"/>
      <c r="GEO1223" s="3"/>
      <c r="GEP1223" s="4"/>
      <c r="GEQ1223" s="4"/>
      <c r="GER1223" s="18"/>
      <c r="GES1223" s="3"/>
      <c r="GET1223" s="4"/>
      <c r="GEU1223" s="4"/>
      <c r="GEV1223" s="18"/>
      <c r="GEW1223" s="3"/>
      <c r="GEX1223" s="4"/>
      <c r="GEY1223" s="4"/>
      <c r="GEZ1223" s="18"/>
      <c r="GFA1223" s="3"/>
      <c r="GFB1223" s="4"/>
      <c r="GFC1223" s="4"/>
      <c r="GFD1223" s="18"/>
      <c r="GFE1223" s="3"/>
      <c r="GFF1223" s="4"/>
      <c r="GFG1223" s="4"/>
      <c r="GFH1223" s="18"/>
      <c r="GFI1223" s="3"/>
      <c r="GFJ1223" s="4"/>
      <c r="GFK1223" s="4"/>
      <c r="GFL1223" s="18"/>
      <c r="GFM1223" s="3"/>
      <c r="GFN1223" s="4"/>
      <c r="GFO1223" s="4"/>
      <c r="GFP1223" s="18"/>
      <c r="GFQ1223" s="3"/>
      <c r="GFR1223" s="4"/>
      <c r="GFS1223" s="4"/>
      <c r="GFT1223" s="18"/>
      <c r="GFU1223" s="3"/>
      <c r="GFV1223" s="4"/>
      <c r="GFW1223" s="4"/>
      <c r="GFX1223" s="18"/>
      <c r="GFY1223" s="3"/>
      <c r="GFZ1223" s="4"/>
      <c r="GGA1223" s="4"/>
      <c r="GGB1223" s="18"/>
      <c r="GGC1223" s="3"/>
      <c r="GGD1223" s="4"/>
      <c r="GGE1223" s="4"/>
      <c r="GGF1223" s="18"/>
      <c r="GGG1223" s="3"/>
      <c r="GGH1223" s="4"/>
      <c r="GGI1223" s="4"/>
      <c r="GGJ1223" s="18"/>
      <c r="GGK1223" s="3"/>
      <c r="GGL1223" s="4"/>
      <c r="GGM1223" s="4"/>
      <c r="GGN1223" s="18"/>
      <c r="GGO1223" s="3"/>
      <c r="GGP1223" s="4"/>
      <c r="GGQ1223" s="4"/>
      <c r="GGR1223" s="18"/>
      <c r="GGS1223" s="3"/>
      <c r="GGT1223" s="4"/>
      <c r="GGU1223" s="4"/>
      <c r="GGV1223" s="18"/>
      <c r="GGW1223" s="3"/>
      <c r="GGX1223" s="4"/>
      <c r="GGY1223" s="4"/>
      <c r="GGZ1223" s="18"/>
      <c r="GHA1223" s="3"/>
      <c r="GHB1223" s="4"/>
      <c r="GHC1223" s="4"/>
      <c r="GHD1223" s="18"/>
      <c r="GHE1223" s="3"/>
      <c r="GHF1223" s="4"/>
      <c r="GHG1223" s="4"/>
      <c r="GHH1223" s="18"/>
      <c r="GHI1223" s="3"/>
      <c r="GHJ1223" s="4"/>
      <c r="GHK1223" s="4"/>
      <c r="GHL1223" s="18"/>
      <c r="GHM1223" s="3"/>
      <c r="GHN1223" s="4"/>
      <c r="GHO1223" s="4"/>
      <c r="GHP1223" s="18"/>
      <c r="GHQ1223" s="3"/>
      <c r="GHR1223" s="4"/>
      <c r="GHS1223" s="4"/>
      <c r="GHT1223" s="18"/>
      <c r="GHU1223" s="3"/>
      <c r="GHV1223" s="4"/>
      <c r="GHW1223" s="4"/>
      <c r="GHX1223" s="18"/>
      <c r="GHY1223" s="3"/>
      <c r="GHZ1223" s="4"/>
      <c r="GIA1223" s="4"/>
      <c r="GIB1223" s="18"/>
      <c r="GIC1223" s="3"/>
      <c r="GID1223" s="4"/>
      <c r="GIE1223" s="4"/>
      <c r="GIF1223" s="18"/>
      <c r="GIG1223" s="3"/>
      <c r="GIH1223" s="4"/>
      <c r="GII1223" s="4"/>
      <c r="GIJ1223" s="18"/>
      <c r="GIK1223" s="3"/>
      <c r="GIL1223" s="4"/>
      <c r="GIM1223" s="4"/>
      <c r="GIN1223" s="18"/>
      <c r="GIO1223" s="3"/>
      <c r="GIP1223" s="4"/>
      <c r="GIQ1223" s="4"/>
      <c r="GIR1223" s="18"/>
      <c r="GIS1223" s="3"/>
      <c r="GIT1223" s="4"/>
      <c r="GIU1223" s="4"/>
      <c r="GIV1223" s="18"/>
      <c r="GIW1223" s="3"/>
      <c r="GIX1223" s="4"/>
      <c r="GIY1223" s="4"/>
      <c r="GIZ1223" s="18"/>
      <c r="GJA1223" s="3"/>
      <c r="GJB1223" s="4"/>
      <c r="GJC1223" s="4"/>
      <c r="GJD1223" s="18"/>
      <c r="GJE1223" s="3"/>
      <c r="GJF1223" s="4"/>
      <c r="GJG1223" s="4"/>
      <c r="GJH1223" s="18"/>
      <c r="GJI1223" s="3"/>
      <c r="GJJ1223" s="4"/>
      <c r="GJK1223" s="4"/>
      <c r="GJL1223" s="18"/>
      <c r="GJM1223" s="3"/>
      <c r="GJN1223" s="4"/>
      <c r="GJO1223" s="4"/>
      <c r="GJP1223" s="18"/>
      <c r="GJQ1223" s="3"/>
      <c r="GJR1223" s="4"/>
      <c r="GJS1223" s="4"/>
      <c r="GJT1223" s="18"/>
      <c r="GJU1223" s="3"/>
      <c r="GJV1223" s="4"/>
      <c r="GJW1223" s="4"/>
      <c r="GJX1223" s="18"/>
      <c r="GJY1223" s="3"/>
      <c r="GJZ1223" s="4"/>
      <c r="GKA1223" s="4"/>
      <c r="GKB1223" s="18"/>
      <c r="GKC1223" s="3"/>
      <c r="GKD1223" s="4"/>
      <c r="GKE1223" s="4"/>
      <c r="GKF1223" s="18"/>
      <c r="GKG1223" s="3"/>
      <c r="GKH1223" s="4"/>
      <c r="GKI1223" s="4"/>
      <c r="GKJ1223" s="18"/>
      <c r="GKK1223" s="3"/>
      <c r="GKL1223" s="4"/>
      <c r="GKM1223" s="4"/>
      <c r="GKN1223" s="18"/>
      <c r="GKO1223" s="3"/>
      <c r="GKP1223" s="4"/>
      <c r="GKQ1223" s="4"/>
      <c r="GKR1223" s="18"/>
      <c r="GKS1223" s="3"/>
      <c r="GKT1223" s="4"/>
      <c r="GKU1223" s="4"/>
      <c r="GKV1223" s="18"/>
      <c r="GKW1223" s="3"/>
      <c r="GKX1223" s="4"/>
      <c r="GKY1223" s="4"/>
      <c r="GKZ1223" s="18"/>
      <c r="GLA1223" s="3"/>
      <c r="GLB1223" s="4"/>
      <c r="GLC1223" s="4"/>
      <c r="GLD1223" s="18"/>
      <c r="GLE1223" s="3"/>
      <c r="GLF1223" s="4"/>
      <c r="GLG1223" s="4"/>
      <c r="GLH1223" s="18"/>
      <c r="GLI1223" s="3"/>
      <c r="GLJ1223" s="4"/>
      <c r="GLK1223" s="4"/>
      <c r="GLL1223" s="18"/>
      <c r="GLM1223" s="3"/>
      <c r="GLN1223" s="4"/>
      <c r="GLO1223" s="4"/>
      <c r="GLP1223" s="18"/>
      <c r="GLQ1223" s="3"/>
      <c r="GLR1223" s="4"/>
      <c r="GLS1223" s="4"/>
      <c r="GLT1223" s="18"/>
      <c r="GLU1223" s="3"/>
      <c r="GLV1223" s="4"/>
      <c r="GLW1223" s="4"/>
      <c r="GLX1223" s="18"/>
      <c r="GLY1223" s="3"/>
      <c r="GLZ1223" s="4"/>
      <c r="GMA1223" s="4"/>
      <c r="GMB1223" s="18"/>
      <c r="GMC1223" s="3"/>
      <c r="GMD1223" s="4"/>
      <c r="GME1223" s="4"/>
      <c r="GMF1223" s="18"/>
      <c r="GMG1223" s="3"/>
      <c r="GMH1223" s="4"/>
      <c r="GMI1223" s="4"/>
      <c r="GMJ1223" s="18"/>
      <c r="GMK1223" s="3"/>
      <c r="GML1223" s="4"/>
      <c r="GMM1223" s="4"/>
      <c r="GMN1223" s="18"/>
      <c r="GMO1223" s="3"/>
      <c r="GMP1223" s="4"/>
      <c r="GMQ1223" s="4"/>
      <c r="GMR1223" s="18"/>
      <c r="GMS1223" s="3"/>
      <c r="GMT1223" s="4"/>
      <c r="GMU1223" s="4"/>
      <c r="GMV1223" s="18"/>
      <c r="GMW1223" s="3"/>
      <c r="GMX1223" s="4"/>
      <c r="GMY1223" s="4"/>
      <c r="GMZ1223" s="18"/>
      <c r="GNA1223" s="3"/>
      <c r="GNB1223" s="4"/>
      <c r="GNC1223" s="4"/>
      <c r="GND1223" s="18"/>
      <c r="GNE1223" s="3"/>
      <c r="GNF1223" s="4"/>
      <c r="GNG1223" s="4"/>
      <c r="GNH1223" s="18"/>
      <c r="GNI1223" s="3"/>
      <c r="GNJ1223" s="4"/>
      <c r="GNK1223" s="4"/>
      <c r="GNL1223" s="18"/>
      <c r="GNM1223" s="3"/>
      <c r="GNN1223" s="4"/>
      <c r="GNO1223" s="4"/>
      <c r="GNP1223" s="18"/>
      <c r="GNQ1223" s="3"/>
      <c r="GNR1223" s="4"/>
      <c r="GNS1223" s="4"/>
      <c r="GNT1223" s="18"/>
      <c r="GNU1223" s="3"/>
      <c r="GNV1223" s="4"/>
      <c r="GNW1223" s="4"/>
      <c r="GNX1223" s="18"/>
      <c r="GNY1223" s="3"/>
      <c r="GNZ1223" s="4"/>
      <c r="GOA1223" s="4"/>
      <c r="GOB1223" s="18"/>
      <c r="GOC1223" s="3"/>
      <c r="GOD1223" s="4"/>
      <c r="GOE1223" s="4"/>
      <c r="GOF1223" s="18"/>
      <c r="GOG1223" s="3"/>
      <c r="GOH1223" s="4"/>
      <c r="GOI1223" s="4"/>
      <c r="GOJ1223" s="18"/>
      <c r="GOK1223" s="3"/>
      <c r="GOL1223" s="4"/>
      <c r="GOM1223" s="4"/>
      <c r="GON1223" s="18"/>
      <c r="GOO1223" s="3"/>
      <c r="GOP1223" s="4"/>
      <c r="GOQ1223" s="4"/>
      <c r="GOR1223" s="18"/>
      <c r="GOS1223" s="3"/>
      <c r="GOT1223" s="4"/>
      <c r="GOU1223" s="4"/>
      <c r="GOV1223" s="18"/>
      <c r="GOW1223" s="3"/>
      <c r="GOX1223" s="4"/>
      <c r="GOY1223" s="4"/>
      <c r="GOZ1223" s="18"/>
      <c r="GPA1223" s="3"/>
      <c r="GPB1223" s="4"/>
      <c r="GPC1223" s="4"/>
      <c r="GPD1223" s="18"/>
      <c r="GPE1223" s="3"/>
      <c r="GPF1223" s="4"/>
      <c r="GPG1223" s="4"/>
      <c r="GPH1223" s="18"/>
      <c r="GPI1223" s="3"/>
      <c r="GPJ1223" s="4"/>
      <c r="GPK1223" s="4"/>
      <c r="GPL1223" s="18"/>
      <c r="GPM1223" s="3"/>
      <c r="GPN1223" s="4"/>
      <c r="GPO1223" s="4"/>
      <c r="GPP1223" s="18"/>
      <c r="GPQ1223" s="3"/>
      <c r="GPR1223" s="4"/>
      <c r="GPS1223" s="4"/>
      <c r="GPT1223" s="18"/>
      <c r="GPU1223" s="3"/>
      <c r="GPV1223" s="4"/>
      <c r="GPW1223" s="4"/>
      <c r="GPX1223" s="18"/>
      <c r="GPY1223" s="3"/>
      <c r="GPZ1223" s="4"/>
      <c r="GQA1223" s="4"/>
      <c r="GQB1223" s="18"/>
      <c r="GQC1223" s="3"/>
      <c r="GQD1223" s="4"/>
      <c r="GQE1223" s="4"/>
      <c r="GQF1223" s="18"/>
      <c r="GQG1223" s="3"/>
      <c r="GQH1223" s="4"/>
      <c r="GQI1223" s="4"/>
      <c r="GQJ1223" s="18"/>
      <c r="GQK1223" s="3"/>
      <c r="GQL1223" s="4"/>
      <c r="GQM1223" s="4"/>
      <c r="GQN1223" s="18"/>
      <c r="GQO1223" s="3"/>
      <c r="GQP1223" s="4"/>
      <c r="GQQ1223" s="4"/>
      <c r="GQR1223" s="18"/>
      <c r="GQS1223" s="3"/>
      <c r="GQT1223" s="4"/>
      <c r="GQU1223" s="4"/>
      <c r="GQV1223" s="18"/>
      <c r="GQW1223" s="3"/>
      <c r="GQX1223" s="4"/>
      <c r="GQY1223" s="4"/>
      <c r="GQZ1223" s="18"/>
      <c r="GRA1223" s="3"/>
      <c r="GRB1223" s="4"/>
      <c r="GRC1223" s="4"/>
      <c r="GRD1223" s="18"/>
      <c r="GRE1223" s="3"/>
      <c r="GRF1223" s="4"/>
      <c r="GRG1223" s="4"/>
      <c r="GRH1223" s="18"/>
      <c r="GRI1223" s="3"/>
      <c r="GRJ1223" s="4"/>
      <c r="GRK1223" s="4"/>
      <c r="GRL1223" s="18"/>
      <c r="GRM1223" s="3"/>
      <c r="GRN1223" s="4"/>
      <c r="GRO1223" s="4"/>
      <c r="GRP1223" s="18"/>
      <c r="GRQ1223" s="3"/>
      <c r="GRR1223" s="4"/>
      <c r="GRS1223" s="4"/>
      <c r="GRT1223" s="18"/>
      <c r="GRU1223" s="3"/>
      <c r="GRV1223" s="4"/>
      <c r="GRW1223" s="4"/>
      <c r="GRX1223" s="18"/>
      <c r="GRY1223" s="3"/>
      <c r="GRZ1223" s="4"/>
      <c r="GSA1223" s="4"/>
      <c r="GSB1223" s="18"/>
      <c r="GSC1223" s="3"/>
      <c r="GSD1223" s="4"/>
      <c r="GSE1223" s="4"/>
      <c r="GSF1223" s="18"/>
      <c r="GSG1223" s="3"/>
      <c r="GSH1223" s="4"/>
      <c r="GSI1223" s="4"/>
      <c r="GSJ1223" s="18"/>
      <c r="GSK1223" s="3"/>
      <c r="GSL1223" s="4"/>
      <c r="GSM1223" s="4"/>
      <c r="GSN1223" s="18"/>
      <c r="GSO1223" s="3"/>
      <c r="GSP1223" s="4"/>
      <c r="GSQ1223" s="4"/>
      <c r="GSR1223" s="18"/>
      <c r="GSS1223" s="3"/>
      <c r="GST1223" s="4"/>
      <c r="GSU1223" s="4"/>
      <c r="GSV1223" s="18"/>
      <c r="GSW1223" s="3"/>
      <c r="GSX1223" s="4"/>
      <c r="GSY1223" s="4"/>
      <c r="GSZ1223" s="18"/>
      <c r="GTA1223" s="3"/>
      <c r="GTB1223" s="4"/>
      <c r="GTC1223" s="4"/>
      <c r="GTD1223" s="18"/>
      <c r="GTE1223" s="3"/>
      <c r="GTF1223" s="4"/>
      <c r="GTG1223" s="4"/>
      <c r="GTH1223" s="18"/>
      <c r="GTI1223" s="3"/>
      <c r="GTJ1223" s="4"/>
      <c r="GTK1223" s="4"/>
      <c r="GTL1223" s="18"/>
      <c r="GTM1223" s="3"/>
      <c r="GTN1223" s="4"/>
      <c r="GTO1223" s="4"/>
      <c r="GTP1223" s="18"/>
      <c r="GTQ1223" s="3"/>
      <c r="GTR1223" s="4"/>
      <c r="GTS1223" s="4"/>
      <c r="GTT1223" s="18"/>
      <c r="GTU1223" s="3"/>
      <c r="GTV1223" s="4"/>
      <c r="GTW1223" s="4"/>
      <c r="GTX1223" s="18"/>
      <c r="GTY1223" s="3"/>
      <c r="GTZ1223" s="4"/>
      <c r="GUA1223" s="4"/>
      <c r="GUB1223" s="18"/>
      <c r="GUC1223" s="3"/>
      <c r="GUD1223" s="4"/>
      <c r="GUE1223" s="4"/>
      <c r="GUF1223" s="18"/>
      <c r="GUG1223" s="3"/>
      <c r="GUH1223" s="4"/>
      <c r="GUI1223" s="4"/>
      <c r="GUJ1223" s="18"/>
      <c r="GUK1223" s="3"/>
      <c r="GUL1223" s="4"/>
      <c r="GUM1223" s="4"/>
      <c r="GUN1223" s="18"/>
      <c r="GUO1223" s="3"/>
      <c r="GUP1223" s="4"/>
      <c r="GUQ1223" s="4"/>
      <c r="GUR1223" s="18"/>
      <c r="GUS1223" s="3"/>
      <c r="GUT1223" s="4"/>
      <c r="GUU1223" s="4"/>
      <c r="GUV1223" s="18"/>
      <c r="GUW1223" s="3"/>
      <c r="GUX1223" s="4"/>
      <c r="GUY1223" s="4"/>
      <c r="GUZ1223" s="18"/>
      <c r="GVA1223" s="3"/>
      <c r="GVB1223" s="4"/>
      <c r="GVC1223" s="4"/>
      <c r="GVD1223" s="18"/>
      <c r="GVE1223" s="3"/>
      <c r="GVF1223" s="4"/>
      <c r="GVG1223" s="4"/>
      <c r="GVH1223" s="18"/>
      <c r="GVI1223" s="3"/>
      <c r="GVJ1223" s="4"/>
      <c r="GVK1223" s="4"/>
      <c r="GVL1223" s="18"/>
      <c r="GVM1223" s="3"/>
      <c r="GVN1223" s="4"/>
      <c r="GVO1223" s="4"/>
      <c r="GVP1223" s="18"/>
      <c r="GVQ1223" s="3"/>
      <c r="GVR1223" s="4"/>
      <c r="GVS1223" s="4"/>
      <c r="GVT1223" s="18"/>
      <c r="GVU1223" s="3"/>
      <c r="GVV1223" s="4"/>
      <c r="GVW1223" s="4"/>
      <c r="GVX1223" s="18"/>
      <c r="GVY1223" s="3"/>
      <c r="GVZ1223" s="4"/>
      <c r="GWA1223" s="4"/>
      <c r="GWB1223" s="18"/>
      <c r="GWC1223" s="3"/>
      <c r="GWD1223" s="4"/>
      <c r="GWE1223" s="4"/>
      <c r="GWF1223" s="18"/>
      <c r="GWG1223" s="3"/>
      <c r="GWH1223" s="4"/>
      <c r="GWI1223" s="4"/>
      <c r="GWJ1223" s="18"/>
      <c r="GWK1223" s="3"/>
      <c r="GWL1223" s="4"/>
      <c r="GWM1223" s="4"/>
      <c r="GWN1223" s="18"/>
      <c r="GWO1223" s="3"/>
      <c r="GWP1223" s="4"/>
      <c r="GWQ1223" s="4"/>
      <c r="GWR1223" s="18"/>
      <c r="GWS1223" s="3"/>
      <c r="GWT1223" s="4"/>
      <c r="GWU1223" s="4"/>
      <c r="GWV1223" s="18"/>
      <c r="GWW1223" s="3"/>
      <c r="GWX1223" s="4"/>
      <c r="GWY1223" s="4"/>
      <c r="GWZ1223" s="18"/>
      <c r="GXA1223" s="3"/>
      <c r="GXB1223" s="4"/>
      <c r="GXC1223" s="4"/>
      <c r="GXD1223" s="18"/>
      <c r="GXE1223" s="3"/>
      <c r="GXF1223" s="4"/>
      <c r="GXG1223" s="4"/>
      <c r="GXH1223" s="18"/>
      <c r="GXI1223" s="3"/>
      <c r="GXJ1223" s="4"/>
      <c r="GXK1223" s="4"/>
      <c r="GXL1223" s="18"/>
      <c r="GXM1223" s="3"/>
      <c r="GXN1223" s="4"/>
      <c r="GXO1223" s="4"/>
      <c r="GXP1223" s="18"/>
      <c r="GXQ1223" s="3"/>
      <c r="GXR1223" s="4"/>
      <c r="GXS1223" s="4"/>
      <c r="GXT1223" s="18"/>
      <c r="GXU1223" s="3"/>
      <c r="GXV1223" s="4"/>
      <c r="GXW1223" s="4"/>
      <c r="GXX1223" s="18"/>
      <c r="GXY1223" s="3"/>
      <c r="GXZ1223" s="4"/>
      <c r="GYA1223" s="4"/>
      <c r="GYB1223" s="18"/>
      <c r="GYC1223" s="3"/>
      <c r="GYD1223" s="4"/>
      <c r="GYE1223" s="4"/>
      <c r="GYF1223" s="18"/>
      <c r="GYG1223" s="3"/>
      <c r="GYH1223" s="4"/>
      <c r="GYI1223" s="4"/>
      <c r="GYJ1223" s="18"/>
      <c r="GYK1223" s="3"/>
      <c r="GYL1223" s="4"/>
      <c r="GYM1223" s="4"/>
      <c r="GYN1223" s="18"/>
      <c r="GYO1223" s="3"/>
      <c r="GYP1223" s="4"/>
      <c r="GYQ1223" s="4"/>
      <c r="GYR1223" s="18"/>
      <c r="GYS1223" s="3"/>
      <c r="GYT1223" s="4"/>
      <c r="GYU1223" s="4"/>
      <c r="GYV1223" s="18"/>
      <c r="GYW1223" s="3"/>
      <c r="GYX1223" s="4"/>
      <c r="GYY1223" s="4"/>
      <c r="GYZ1223" s="18"/>
      <c r="GZA1223" s="3"/>
      <c r="GZB1223" s="4"/>
      <c r="GZC1223" s="4"/>
      <c r="GZD1223" s="18"/>
      <c r="GZE1223" s="3"/>
      <c r="GZF1223" s="4"/>
      <c r="GZG1223" s="4"/>
      <c r="GZH1223" s="18"/>
      <c r="GZI1223" s="3"/>
      <c r="GZJ1223" s="4"/>
      <c r="GZK1223" s="4"/>
      <c r="GZL1223" s="18"/>
      <c r="GZM1223" s="3"/>
      <c r="GZN1223" s="4"/>
      <c r="GZO1223" s="4"/>
      <c r="GZP1223" s="18"/>
      <c r="GZQ1223" s="3"/>
      <c r="GZR1223" s="4"/>
      <c r="GZS1223" s="4"/>
      <c r="GZT1223" s="18"/>
      <c r="GZU1223" s="3"/>
      <c r="GZV1223" s="4"/>
      <c r="GZW1223" s="4"/>
      <c r="GZX1223" s="18"/>
      <c r="GZY1223" s="3"/>
      <c r="GZZ1223" s="4"/>
      <c r="HAA1223" s="4"/>
      <c r="HAB1223" s="18"/>
      <c r="HAC1223" s="3"/>
      <c r="HAD1223" s="4"/>
      <c r="HAE1223" s="4"/>
      <c r="HAF1223" s="18"/>
      <c r="HAG1223" s="3"/>
      <c r="HAH1223" s="4"/>
      <c r="HAI1223" s="4"/>
      <c r="HAJ1223" s="18"/>
      <c r="HAK1223" s="3"/>
      <c r="HAL1223" s="4"/>
      <c r="HAM1223" s="4"/>
      <c r="HAN1223" s="18"/>
      <c r="HAO1223" s="3"/>
      <c r="HAP1223" s="4"/>
      <c r="HAQ1223" s="4"/>
      <c r="HAR1223" s="18"/>
      <c r="HAS1223" s="3"/>
      <c r="HAT1223" s="4"/>
      <c r="HAU1223" s="4"/>
      <c r="HAV1223" s="18"/>
      <c r="HAW1223" s="3"/>
      <c r="HAX1223" s="4"/>
      <c r="HAY1223" s="4"/>
      <c r="HAZ1223" s="18"/>
      <c r="HBA1223" s="3"/>
      <c r="HBB1223" s="4"/>
      <c r="HBC1223" s="4"/>
      <c r="HBD1223" s="18"/>
      <c r="HBE1223" s="3"/>
      <c r="HBF1223" s="4"/>
      <c r="HBG1223" s="4"/>
      <c r="HBH1223" s="18"/>
      <c r="HBI1223" s="3"/>
      <c r="HBJ1223" s="4"/>
      <c r="HBK1223" s="4"/>
      <c r="HBL1223" s="18"/>
      <c r="HBM1223" s="3"/>
      <c r="HBN1223" s="4"/>
      <c r="HBO1223" s="4"/>
      <c r="HBP1223" s="18"/>
      <c r="HBQ1223" s="3"/>
      <c r="HBR1223" s="4"/>
      <c r="HBS1223" s="4"/>
      <c r="HBT1223" s="18"/>
      <c r="HBU1223" s="3"/>
      <c r="HBV1223" s="4"/>
      <c r="HBW1223" s="4"/>
      <c r="HBX1223" s="18"/>
      <c r="HBY1223" s="3"/>
      <c r="HBZ1223" s="4"/>
      <c r="HCA1223" s="4"/>
      <c r="HCB1223" s="18"/>
      <c r="HCC1223" s="3"/>
      <c r="HCD1223" s="4"/>
      <c r="HCE1223" s="4"/>
      <c r="HCF1223" s="18"/>
      <c r="HCG1223" s="3"/>
      <c r="HCH1223" s="4"/>
      <c r="HCI1223" s="4"/>
      <c r="HCJ1223" s="18"/>
      <c r="HCK1223" s="3"/>
      <c r="HCL1223" s="4"/>
      <c r="HCM1223" s="4"/>
      <c r="HCN1223" s="18"/>
      <c r="HCO1223" s="3"/>
      <c r="HCP1223" s="4"/>
      <c r="HCQ1223" s="4"/>
      <c r="HCR1223" s="18"/>
      <c r="HCS1223" s="3"/>
      <c r="HCT1223" s="4"/>
      <c r="HCU1223" s="4"/>
      <c r="HCV1223" s="18"/>
      <c r="HCW1223" s="3"/>
      <c r="HCX1223" s="4"/>
      <c r="HCY1223" s="4"/>
      <c r="HCZ1223" s="18"/>
      <c r="HDA1223" s="3"/>
      <c r="HDB1223" s="4"/>
      <c r="HDC1223" s="4"/>
      <c r="HDD1223" s="18"/>
      <c r="HDE1223" s="3"/>
      <c r="HDF1223" s="4"/>
      <c r="HDG1223" s="4"/>
      <c r="HDH1223" s="18"/>
      <c r="HDI1223" s="3"/>
      <c r="HDJ1223" s="4"/>
      <c r="HDK1223" s="4"/>
      <c r="HDL1223" s="18"/>
      <c r="HDM1223" s="3"/>
      <c r="HDN1223" s="4"/>
      <c r="HDO1223" s="4"/>
      <c r="HDP1223" s="18"/>
      <c r="HDQ1223" s="3"/>
      <c r="HDR1223" s="4"/>
      <c r="HDS1223" s="4"/>
      <c r="HDT1223" s="18"/>
      <c r="HDU1223" s="3"/>
      <c r="HDV1223" s="4"/>
      <c r="HDW1223" s="4"/>
      <c r="HDX1223" s="18"/>
      <c r="HDY1223" s="3"/>
      <c r="HDZ1223" s="4"/>
      <c r="HEA1223" s="4"/>
      <c r="HEB1223" s="18"/>
      <c r="HEC1223" s="3"/>
      <c r="HED1223" s="4"/>
      <c r="HEE1223" s="4"/>
      <c r="HEF1223" s="18"/>
      <c r="HEG1223" s="3"/>
      <c r="HEH1223" s="4"/>
      <c r="HEI1223" s="4"/>
      <c r="HEJ1223" s="18"/>
      <c r="HEK1223" s="3"/>
      <c r="HEL1223" s="4"/>
      <c r="HEM1223" s="4"/>
      <c r="HEN1223" s="18"/>
      <c r="HEO1223" s="3"/>
      <c r="HEP1223" s="4"/>
      <c r="HEQ1223" s="4"/>
      <c r="HER1223" s="18"/>
      <c r="HES1223" s="3"/>
      <c r="HET1223" s="4"/>
      <c r="HEU1223" s="4"/>
      <c r="HEV1223" s="18"/>
      <c r="HEW1223" s="3"/>
      <c r="HEX1223" s="4"/>
      <c r="HEY1223" s="4"/>
      <c r="HEZ1223" s="18"/>
      <c r="HFA1223" s="3"/>
      <c r="HFB1223" s="4"/>
      <c r="HFC1223" s="4"/>
      <c r="HFD1223" s="18"/>
      <c r="HFE1223" s="3"/>
      <c r="HFF1223" s="4"/>
      <c r="HFG1223" s="4"/>
      <c r="HFH1223" s="18"/>
      <c r="HFI1223" s="3"/>
      <c r="HFJ1223" s="4"/>
      <c r="HFK1223" s="4"/>
      <c r="HFL1223" s="18"/>
      <c r="HFM1223" s="3"/>
      <c r="HFN1223" s="4"/>
      <c r="HFO1223" s="4"/>
      <c r="HFP1223" s="18"/>
      <c r="HFQ1223" s="3"/>
      <c r="HFR1223" s="4"/>
      <c r="HFS1223" s="4"/>
      <c r="HFT1223" s="18"/>
      <c r="HFU1223" s="3"/>
      <c r="HFV1223" s="4"/>
      <c r="HFW1223" s="4"/>
      <c r="HFX1223" s="18"/>
      <c r="HFY1223" s="3"/>
      <c r="HFZ1223" s="4"/>
      <c r="HGA1223" s="4"/>
      <c r="HGB1223" s="18"/>
      <c r="HGC1223" s="3"/>
      <c r="HGD1223" s="4"/>
      <c r="HGE1223" s="4"/>
      <c r="HGF1223" s="18"/>
      <c r="HGG1223" s="3"/>
      <c r="HGH1223" s="4"/>
      <c r="HGI1223" s="4"/>
      <c r="HGJ1223" s="18"/>
      <c r="HGK1223" s="3"/>
      <c r="HGL1223" s="4"/>
      <c r="HGM1223" s="4"/>
      <c r="HGN1223" s="18"/>
      <c r="HGO1223" s="3"/>
      <c r="HGP1223" s="4"/>
      <c r="HGQ1223" s="4"/>
      <c r="HGR1223" s="18"/>
      <c r="HGS1223" s="3"/>
      <c r="HGT1223" s="4"/>
      <c r="HGU1223" s="4"/>
      <c r="HGV1223" s="18"/>
      <c r="HGW1223" s="3"/>
      <c r="HGX1223" s="4"/>
      <c r="HGY1223" s="4"/>
      <c r="HGZ1223" s="18"/>
      <c r="HHA1223" s="3"/>
      <c r="HHB1223" s="4"/>
      <c r="HHC1223" s="4"/>
      <c r="HHD1223" s="18"/>
      <c r="HHE1223" s="3"/>
      <c r="HHF1223" s="4"/>
      <c r="HHG1223" s="4"/>
      <c r="HHH1223" s="18"/>
      <c r="HHI1223" s="3"/>
      <c r="HHJ1223" s="4"/>
      <c r="HHK1223" s="4"/>
      <c r="HHL1223" s="18"/>
      <c r="HHM1223" s="3"/>
      <c r="HHN1223" s="4"/>
      <c r="HHO1223" s="4"/>
      <c r="HHP1223" s="18"/>
      <c r="HHQ1223" s="3"/>
      <c r="HHR1223" s="4"/>
      <c r="HHS1223" s="4"/>
      <c r="HHT1223" s="18"/>
      <c r="HHU1223" s="3"/>
      <c r="HHV1223" s="4"/>
      <c r="HHW1223" s="4"/>
      <c r="HHX1223" s="18"/>
      <c r="HHY1223" s="3"/>
      <c r="HHZ1223" s="4"/>
      <c r="HIA1223" s="4"/>
      <c r="HIB1223" s="18"/>
      <c r="HIC1223" s="3"/>
      <c r="HID1223" s="4"/>
      <c r="HIE1223" s="4"/>
      <c r="HIF1223" s="18"/>
      <c r="HIG1223" s="3"/>
      <c r="HIH1223" s="4"/>
      <c r="HII1223" s="4"/>
      <c r="HIJ1223" s="18"/>
      <c r="HIK1223" s="3"/>
      <c r="HIL1223" s="4"/>
      <c r="HIM1223" s="4"/>
      <c r="HIN1223" s="18"/>
      <c r="HIO1223" s="3"/>
      <c r="HIP1223" s="4"/>
      <c r="HIQ1223" s="4"/>
      <c r="HIR1223" s="18"/>
      <c r="HIS1223" s="3"/>
      <c r="HIT1223" s="4"/>
      <c r="HIU1223" s="4"/>
      <c r="HIV1223" s="18"/>
      <c r="HIW1223" s="3"/>
      <c r="HIX1223" s="4"/>
      <c r="HIY1223" s="4"/>
      <c r="HIZ1223" s="18"/>
      <c r="HJA1223" s="3"/>
      <c r="HJB1223" s="4"/>
      <c r="HJC1223" s="4"/>
      <c r="HJD1223" s="18"/>
      <c r="HJE1223" s="3"/>
      <c r="HJF1223" s="4"/>
      <c r="HJG1223" s="4"/>
      <c r="HJH1223" s="18"/>
      <c r="HJI1223" s="3"/>
      <c r="HJJ1223" s="4"/>
      <c r="HJK1223" s="4"/>
      <c r="HJL1223" s="18"/>
      <c r="HJM1223" s="3"/>
      <c r="HJN1223" s="4"/>
      <c r="HJO1223" s="4"/>
      <c r="HJP1223" s="18"/>
      <c r="HJQ1223" s="3"/>
      <c r="HJR1223" s="4"/>
      <c r="HJS1223" s="4"/>
      <c r="HJT1223" s="18"/>
      <c r="HJU1223" s="3"/>
      <c r="HJV1223" s="4"/>
      <c r="HJW1223" s="4"/>
      <c r="HJX1223" s="18"/>
      <c r="HJY1223" s="3"/>
      <c r="HJZ1223" s="4"/>
      <c r="HKA1223" s="4"/>
      <c r="HKB1223" s="18"/>
      <c r="HKC1223" s="3"/>
      <c r="HKD1223" s="4"/>
      <c r="HKE1223" s="4"/>
      <c r="HKF1223" s="18"/>
      <c r="HKG1223" s="3"/>
      <c r="HKH1223" s="4"/>
      <c r="HKI1223" s="4"/>
      <c r="HKJ1223" s="18"/>
      <c r="HKK1223" s="3"/>
      <c r="HKL1223" s="4"/>
      <c r="HKM1223" s="4"/>
      <c r="HKN1223" s="18"/>
      <c r="HKO1223" s="3"/>
      <c r="HKP1223" s="4"/>
      <c r="HKQ1223" s="4"/>
      <c r="HKR1223" s="18"/>
      <c r="HKS1223" s="3"/>
      <c r="HKT1223" s="4"/>
      <c r="HKU1223" s="4"/>
      <c r="HKV1223" s="18"/>
      <c r="HKW1223" s="3"/>
      <c r="HKX1223" s="4"/>
      <c r="HKY1223" s="4"/>
      <c r="HKZ1223" s="18"/>
      <c r="HLA1223" s="3"/>
      <c r="HLB1223" s="4"/>
      <c r="HLC1223" s="4"/>
      <c r="HLD1223" s="18"/>
      <c r="HLE1223" s="3"/>
      <c r="HLF1223" s="4"/>
      <c r="HLG1223" s="4"/>
      <c r="HLH1223" s="18"/>
      <c r="HLI1223" s="3"/>
      <c r="HLJ1223" s="4"/>
      <c r="HLK1223" s="4"/>
      <c r="HLL1223" s="18"/>
      <c r="HLM1223" s="3"/>
      <c r="HLN1223" s="4"/>
      <c r="HLO1223" s="4"/>
      <c r="HLP1223" s="18"/>
      <c r="HLQ1223" s="3"/>
      <c r="HLR1223" s="4"/>
      <c r="HLS1223" s="4"/>
      <c r="HLT1223" s="18"/>
      <c r="HLU1223" s="3"/>
      <c r="HLV1223" s="4"/>
      <c r="HLW1223" s="4"/>
      <c r="HLX1223" s="18"/>
      <c r="HLY1223" s="3"/>
      <c r="HLZ1223" s="4"/>
      <c r="HMA1223" s="4"/>
      <c r="HMB1223" s="18"/>
      <c r="HMC1223" s="3"/>
      <c r="HMD1223" s="4"/>
      <c r="HME1223" s="4"/>
      <c r="HMF1223" s="18"/>
      <c r="HMG1223" s="3"/>
      <c r="HMH1223" s="4"/>
      <c r="HMI1223" s="4"/>
      <c r="HMJ1223" s="18"/>
      <c r="HMK1223" s="3"/>
      <c r="HML1223" s="4"/>
      <c r="HMM1223" s="4"/>
      <c r="HMN1223" s="18"/>
      <c r="HMO1223" s="3"/>
      <c r="HMP1223" s="4"/>
      <c r="HMQ1223" s="4"/>
      <c r="HMR1223" s="18"/>
      <c r="HMS1223" s="3"/>
      <c r="HMT1223" s="4"/>
      <c r="HMU1223" s="4"/>
      <c r="HMV1223" s="18"/>
      <c r="HMW1223" s="3"/>
      <c r="HMX1223" s="4"/>
      <c r="HMY1223" s="4"/>
      <c r="HMZ1223" s="18"/>
      <c r="HNA1223" s="3"/>
      <c r="HNB1223" s="4"/>
      <c r="HNC1223" s="4"/>
      <c r="HND1223" s="18"/>
      <c r="HNE1223" s="3"/>
      <c r="HNF1223" s="4"/>
      <c r="HNG1223" s="4"/>
      <c r="HNH1223" s="18"/>
      <c r="HNI1223" s="3"/>
      <c r="HNJ1223" s="4"/>
      <c r="HNK1223" s="4"/>
      <c r="HNL1223" s="18"/>
      <c r="HNM1223" s="3"/>
      <c r="HNN1223" s="4"/>
      <c r="HNO1223" s="4"/>
      <c r="HNP1223" s="18"/>
      <c r="HNQ1223" s="3"/>
      <c r="HNR1223" s="4"/>
      <c r="HNS1223" s="4"/>
      <c r="HNT1223" s="18"/>
      <c r="HNU1223" s="3"/>
      <c r="HNV1223" s="4"/>
      <c r="HNW1223" s="4"/>
      <c r="HNX1223" s="18"/>
      <c r="HNY1223" s="3"/>
      <c r="HNZ1223" s="4"/>
      <c r="HOA1223" s="4"/>
      <c r="HOB1223" s="18"/>
      <c r="HOC1223" s="3"/>
      <c r="HOD1223" s="4"/>
      <c r="HOE1223" s="4"/>
      <c r="HOF1223" s="18"/>
      <c r="HOG1223" s="3"/>
      <c r="HOH1223" s="4"/>
      <c r="HOI1223" s="4"/>
      <c r="HOJ1223" s="18"/>
      <c r="HOK1223" s="3"/>
      <c r="HOL1223" s="4"/>
      <c r="HOM1223" s="4"/>
      <c r="HON1223" s="18"/>
      <c r="HOO1223" s="3"/>
      <c r="HOP1223" s="4"/>
      <c r="HOQ1223" s="4"/>
      <c r="HOR1223" s="18"/>
      <c r="HOS1223" s="3"/>
      <c r="HOT1223" s="4"/>
      <c r="HOU1223" s="4"/>
      <c r="HOV1223" s="18"/>
      <c r="HOW1223" s="3"/>
      <c r="HOX1223" s="4"/>
      <c r="HOY1223" s="4"/>
      <c r="HOZ1223" s="18"/>
      <c r="HPA1223" s="3"/>
      <c r="HPB1223" s="4"/>
      <c r="HPC1223" s="4"/>
      <c r="HPD1223" s="18"/>
      <c r="HPE1223" s="3"/>
      <c r="HPF1223" s="4"/>
      <c r="HPG1223" s="4"/>
      <c r="HPH1223" s="18"/>
      <c r="HPI1223" s="3"/>
      <c r="HPJ1223" s="4"/>
      <c r="HPK1223" s="4"/>
      <c r="HPL1223" s="18"/>
      <c r="HPM1223" s="3"/>
      <c r="HPN1223" s="4"/>
      <c r="HPO1223" s="4"/>
      <c r="HPP1223" s="18"/>
      <c r="HPQ1223" s="3"/>
      <c r="HPR1223" s="4"/>
      <c r="HPS1223" s="4"/>
      <c r="HPT1223" s="18"/>
      <c r="HPU1223" s="3"/>
      <c r="HPV1223" s="4"/>
      <c r="HPW1223" s="4"/>
      <c r="HPX1223" s="18"/>
      <c r="HPY1223" s="3"/>
      <c r="HPZ1223" s="4"/>
      <c r="HQA1223" s="4"/>
      <c r="HQB1223" s="18"/>
      <c r="HQC1223" s="3"/>
      <c r="HQD1223" s="4"/>
      <c r="HQE1223" s="4"/>
      <c r="HQF1223" s="18"/>
      <c r="HQG1223" s="3"/>
      <c r="HQH1223" s="4"/>
      <c r="HQI1223" s="4"/>
      <c r="HQJ1223" s="18"/>
      <c r="HQK1223" s="3"/>
      <c r="HQL1223" s="4"/>
      <c r="HQM1223" s="4"/>
      <c r="HQN1223" s="18"/>
      <c r="HQO1223" s="3"/>
      <c r="HQP1223" s="4"/>
      <c r="HQQ1223" s="4"/>
      <c r="HQR1223" s="18"/>
      <c r="HQS1223" s="3"/>
      <c r="HQT1223" s="4"/>
      <c r="HQU1223" s="4"/>
      <c r="HQV1223" s="18"/>
      <c r="HQW1223" s="3"/>
      <c r="HQX1223" s="4"/>
      <c r="HQY1223" s="4"/>
      <c r="HQZ1223" s="18"/>
      <c r="HRA1223" s="3"/>
      <c r="HRB1223" s="4"/>
      <c r="HRC1223" s="4"/>
      <c r="HRD1223" s="18"/>
      <c r="HRE1223" s="3"/>
      <c r="HRF1223" s="4"/>
      <c r="HRG1223" s="4"/>
      <c r="HRH1223" s="18"/>
      <c r="HRI1223" s="3"/>
      <c r="HRJ1223" s="4"/>
      <c r="HRK1223" s="4"/>
      <c r="HRL1223" s="18"/>
      <c r="HRM1223" s="3"/>
      <c r="HRN1223" s="4"/>
      <c r="HRO1223" s="4"/>
      <c r="HRP1223" s="18"/>
      <c r="HRQ1223" s="3"/>
      <c r="HRR1223" s="4"/>
      <c r="HRS1223" s="4"/>
      <c r="HRT1223" s="18"/>
      <c r="HRU1223" s="3"/>
      <c r="HRV1223" s="4"/>
      <c r="HRW1223" s="4"/>
      <c r="HRX1223" s="18"/>
      <c r="HRY1223" s="3"/>
      <c r="HRZ1223" s="4"/>
      <c r="HSA1223" s="4"/>
      <c r="HSB1223" s="18"/>
      <c r="HSC1223" s="3"/>
      <c r="HSD1223" s="4"/>
      <c r="HSE1223" s="4"/>
      <c r="HSF1223" s="18"/>
      <c r="HSG1223" s="3"/>
      <c r="HSH1223" s="4"/>
      <c r="HSI1223" s="4"/>
      <c r="HSJ1223" s="18"/>
      <c r="HSK1223" s="3"/>
      <c r="HSL1223" s="4"/>
      <c r="HSM1223" s="4"/>
      <c r="HSN1223" s="18"/>
      <c r="HSO1223" s="3"/>
      <c r="HSP1223" s="4"/>
      <c r="HSQ1223" s="4"/>
      <c r="HSR1223" s="18"/>
      <c r="HSS1223" s="3"/>
      <c r="HST1223" s="4"/>
      <c r="HSU1223" s="4"/>
      <c r="HSV1223" s="18"/>
      <c r="HSW1223" s="3"/>
      <c r="HSX1223" s="4"/>
      <c r="HSY1223" s="4"/>
      <c r="HSZ1223" s="18"/>
      <c r="HTA1223" s="3"/>
      <c r="HTB1223" s="4"/>
      <c r="HTC1223" s="4"/>
      <c r="HTD1223" s="18"/>
      <c r="HTE1223" s="3"/>
      <c r="HTF1223" s="4"/>
      <c r="HTG1223" s="4"/>
      <c r="HTH1223" s="18"/>
      <c r="HTI1223" s="3"/>
      <c r="HTJ1223" s="4"/>
      <c r="HTK1223" s="4"/>
      <c r="HTL1223" s="18"/>
      <c r="HTM1223" s="3"/>
      <c r="HTN1223" s="4"/>
      <c r="HTO1223" s="4"/>
      <c r="HTP1223" s="18"/>
      <c r="HTQ1223" s="3"/>
      <c r="HTR1223" s="4"/>
      <c r="HTS1223" s="4"/>
      <c r="HTT1223" s="18"/>
      <c r="HTU1223" s="3"/>
      <c r="HTV1223" s="4"/>
      <c r="HTW1223" s="4"/>
      <c r="HTX1223" s="18"/>
      <c r="HTY1223" s="3"/>
      <c r="HTZ1223" s="4"/>
      <c r="HUA1223" s="4"/>
      <c r="HUB1223" s="18"/>
      <c r="HUC1223" s="3"/>
      <c r="HUD1223" s="4"/>
      <c r="HUE1223" s="4"/>
      <c r="HUF1223" s="18"/>
      <c r="HUG1223" s="3"/>
      <c r="HUH1223" s="4"/>
      <c r="HUI1223" s="4"/>
      <c r="HUJ1223" s="18"/>
      <c r="HUK1223" s="3"/>
      <c r="HUL1223" s="4"/>
      <c r="HUM1223" s="4"/>
      <c r="HUN1223" s="18"/>
      <c r="HUO1223" s="3"/>
      <c r="HUP1223" s="4"/>
      <c r="HUQ1223" s="4"/>
      <c r="HUR1223" s="18"/>
      <c r="HUS1223" s="3"/>
      <c r="HUT1223" s="4"/>
      <c r="HUU1223" s="4"/>
      <c r="HUV1223" s="18"/>
      <c r="HUW1223" s="3"/>
      <c r="HUX1223" s="4"/>
      <c r="HUY1223" s="4"/>
      <c r="HUZ1223" s="18"/>
      <c r="HVA1223" s="3"/>
      <c r="HVB1223" s="4"/>
      <c r="HVC1223" s="4"/>
      <c r="HVD1223" s="18"/>
      <c r="HVE1223" s="3"/>
      <c r="HVF1223" s="4"/>
      <c r="HVG1223" s="4"/>
      <c r="HVH1223" s="18"/>
      <c r="HVI1223" s="3"/>
      <c r="HVJ1223" s="4"/>
      <c r="HVK1223" s="4"/>
      <c r="HVL1223" s="18"/>
      <c r="HVM1223" s="3"/>
      <c r="HVN1223" s="4"/>
      <c r="HVO1223" s="4"/>
      <c r="HVP1223" s="18"/>
      <c r="HVQ1223" s="3"/>
      <c r="HVR1223" s="4"/>
      <c r="HVS1223" s="4"/>
      <c r="HVT1223" s="18"/>
      <c r="HVU1223" s="3"/>
      <c r="HVV1223" s="4"/>
      <c r="HVW1223" s="4"/>
      <c r="HVX1223" s="18"/>
      <c r="HVY1223" s="3"/>
      <c r="HVZ1223" s="4"/>
      <c r="HWA1223" s="4"/>
      <c r="HWB1223" s="18"/>
      <c r="HWC1223" s="3"/>
      <c r="HWD1223" s="4"/>
      <c r="HWE1223" s="4"/>
      <c r="HWF1223" s="18"/>
      <c r="HWG1223" s="3"/>
      <c r="HWH1223" s="4"/>
      <c r="HWI1223" s="4"/>
      <c r="HWJ1223" s="18"/>
      <c r="HWK1223" s="3"/>
      <c r="HWL1223" s="4"/>
      <c r="HWM1223" s="4"/>
      <c r="HWN1223" s="18"/>
      <c r="HWO1223" s="3"/>
      <c r="HWP1223" s="4"/>
      <c r="HWQ1223" s="4"/>
      <c r="HWR1223" s="18"/>
      <c r="HWS1223" s="3"/>
      <c r="HWT1223" s="4"/>
      <c r="HWU1223" s="4"/>
      <c r="HWV1223" s="18"/>
      <c r="HWW1223" s="3"/>
      <c r="HWX1223" s="4"/>
      <c r="HWY1223" s="4"/>
      <c r="HWZ1223" s="18"/>
      <c r="HXA1223" s="3"/>
      <c r="HXB1223" s="4"/>
      <c r="HXC1223" s="4"/>
      <c r="HXD1223" s="18"/>
      <c r="HXE1223" s="3"/>
      <c r="HXF1223" s="4"/>
      <c r="HXG1223" s="4"/>
      <c r="HXH1223" s="18"/>
      <c r="HXI1223" s="3"/>
      <c r="HXJ1223" s="4"/>
      <c r="HXK1223" s="4"/>
      <c r="HXL1223" s="18"/>
      <c r="HXM1223" s="3"/>
      <c r="HXN1223" s="4"/>
      <c r="HXO1223" s="4"/>
      <c r="HXP1223" s="18"/>
      <c r="HXQ1223" s="3"/>
      <c r="HXR1223" s="4"/>
      <c r="HXS1223" s="4"/>
      <c r="HXT1223" s="18"/>
      <c r="HXU1223" s="3"/>
      <c r="HXV1223" s="4"/>
      <c r="HXW1223" s="4"/>
      <c r="HXX1223" s="18"/>
      <c r="HXY1223" s="3"/>
      <c r="HXZ1223" s="4"/>
      <c r="HYA1223" s="4"/>
      <c r="HYB1223" s="18"/>
      <c r="HYC1223" s="3"/>
      <c r="HYD1223" s="4"/>
      <c r="HYE1223" s="4"/>
      <c r="HYF1223" s="18"/>
      <c r="HYG1223" s="3"/>
      <c r="HYH1223" s="4"/>
      <c r="HYI1223" s="4"/>
      <c r="HYJ1223" s="18"/>
      <c r="HYK1223" s="3"/>
      <c r="HYL1223" s="4"/>
      <c r="HYM1223" s="4"/>
      <c r="HYN1223" s="18"/>
      <c r="HYO1223" s="3"/>
      <c r="HYP1223" s="4"/>
      <c r="HYQ1223" s="4"/>
      <c r="HYR1223" s="18"/>
      <c r="HYS1223" s="3"/>
      <c r="HYT1223" s="4"/>
      <c r="HYU1223" s="4"/>
      <c r="HYV1223" s="18"/>
      <c r="HYW1223" s="3"/>
      <c r="HYX1223" s="4"/>
      <c r="HYY1223" s="4"/>
      <c r="HYZ1223" s="18"/>
      <c r="HZA1223" s="3"/>
      <c r="HZB1223" s="4"/>
      <c r="HZC1223" s="4"/>
      <c r="HZD1223" s="18"/>
      <c r="HZE1223" s="3"/>
      <c r="HZF1223" s="4"/>
      <c r="HZG1223" s="4"/>
      <c r="HZH1223" s="18"/>
      <c r="HZI1223" s="3"/>
      <c r="HZJ1223" s="4"/>
      <c r="HZK1223" s="4"/>
      <c r="HZL1223" s="18"/>
      <c r="HZM1223" s="3"/>
      <c r="HZN1223" s="4"/>
      <c r="HZO1223" s="4"/>
      <c r="HZP1223" s="18"/>
      <c r="HZQ1223" s="3"/>
      <c r="HZR1223" s="4"/>
      <c r="HZS1223" s="4"/>
      <c r="HZT1223" s="18"/>
      <c r="HZU1223" s="3"/>
      <c r="HZV1223" s="4"/>
      <c r="HZW1223" s="4"/>
      <c r="HZX1223" s="18"/>
      <c r="HZY1223" s="3"/>
      <c r="HZZ1223" s="4"/>
      <c r="IAA1223" s="4"/>
      <c r="IAB1223" s="18"/>
      <c r="IAC1223" s="3"/>
      <c r="IAD1223" s="4"/>
      <c r="IAE1223" s="4"/>
      <c r="IAF1223" s="18"/>
      <c r="IAG1223" s="3"/>
      <c r="IAH1223" s="4"/>
      <c r="IAI1223" s="4"/>
      <c r="IAJ1223" s="18"/>
      <c r="IAK1223" s="3"/>
      <c r="IAL1223" s="4"/>
      <c r="IAM1223" s="4"/>
      <c r="IAN1223" s="18"/>
      <c r="IAO1223" s="3"/>
      <c r="IAP1223" s="4"/>
      <c r="IAQ1223" s="4"/>
      <c r="IAR1223" s="18"/>
      <c r="IAS1223" s="3"/>
      <c r="IAT1223" s="4"/>
      <c r="IAU1223" s="4"/>
      <c r="IAV1223" s="18"/>
      <c r="IAW1223" s="3"/>
      <c r="IAX1223" s="4"/>
      <c r="IAY1223" s="4"/>
      <c r="IAZ1223" s="18"/>
      <c r="IBA1223" s="3"/>
      <c r="IBB1223" s="4"/>
      <c r="IBC1223" s="4"/>
      <c r="IBD1223" s="18"/>
      <c r="IBE1223" s="3"/>
      <c r="IBF1223" s="4"/>
      <c r="IBG1223" s="4"/>
      <c r="IBH1223" s="18"/>
      <c r="IBI1223" s="3"/>
      <c r="IBJ1223" s="4"/>
      <c r="IBK1223" s="4"/>
      <c r="IBL1223" s="18"/>
      <c r="IBM1223" s="3"/>
      <c r="IBN1223" s="4"/>
      <c r="IBO1223" s="4"/>
      <c r="IBP1223" s="18"/>
      <c r="IBQ1223" s="3"/>
      <c r="IBR1223" s="4"/>
      <c r="IBS1223" s="4"/>
      <c r="IBT1223" s="18"/>
      <c r="IBU1223" s="3"/>
      <c r="IBV1223" s="4"/>
      <c r="IBW1223" s="4"/>
      <c r="IBX1223" s="18"/>
      <c r="IBY1223" s="3"/>
      <c r="IBZ1223" s="4"/>
      <c r="ICA1223" s="4"/>
      <c r="ICB1223" s="18"/>
      <c r="ICC1223" s="3"/>
      <c r="ICD1223" s="4"/>
      <c r="ICE1223" s="4"/>
      <c r="ICF1223" s="18"/>
      <c r="ICG1223" s="3"/>
      <c r="ICH1223" s="4"/>
      <c r="ICI1223" s="4"/>
      <c r="ICJ1223" s="18"/>
      <c r="ICK1223" s="3"/>
      <c r="ICL1223" s="4"/>
      <c r="ICM1223" s="4"/>
      <c r="ICN1223" s="18"/>
      <c r="ICO1223" s="3"/>
      <c r="ICP1223" s="4"/>
      <c r="ICQ1223" s="4"/>
      <c r="ICR1223" s="18"/>
      <c r="ICS1223" s="3"/>
      <c r="ICT1223" s="4"/>
      <c r="ICU1223" s="4"/>
      <c r="ICV1223" s="18"/>
      <c r="ICW1223" s="3"/>
      <c r="ICX1223" s="4"/>
      <c r="ICY1223" s="4"/>
      <c r="ICZ1223" s="18"/>
      <c r="IDA1223" s="3"/>
      <c r="IDB1223" s="4"/>
      <c r="IDC1223" s="4"/>
      <c r="IDD1223" s="18"/>
      <c r="IDE1223" s="3"/>
      <c r="IDF1223" s="4"/>
      <c r="IDG1223" s="4"/>
      <c r="IDH1223" s="18"/>
      <c r="IDI1223" s="3"/>
      <c r="IDJ1223" s="4"/>
      <c r="IDK1223" s="4"/>
      <c r="IDL1223" s="18"/>
      <c r="IDM1223" s="3"/>
      <c r="IDN1223" s="4"/>
      <c r="IDO1223" s="4"/>
      <c r="IDP1223" s="18"/>
      <c r="IDQ1223" s="3"/>
      <c r="IDR1223" s="4"/>
      <c r="IDS1223" s="4"/>
      <c r="IDT1223" s="18"/>
      <c r="IDU1223" s="3"/>
      <c r="IDV1223" s="4"/>
      <c r="IDW1223" s="4"/>
      <c r="IDX1223" s="18"/>
      <c r="IDY1223" s="3"/>
      <c r="IDZ1223" s="4"/>
      <c r="IEA1223" s="4"/>
      <c r="IEB1223" s="18"/>
      <c r="IEC1223" s="3"/>
      <c r="IED1223" s="4"/>
      <c r="IEE1223" s="4"/>
      <c r="IEF1223" s="18"/>
      <c r="IEG1223" s="3"/>
      <c r="IEH1223" s="4"/>
      <c r="IEI1223" s="4"/>
      <c r="IEJ1223" s="18"/>
      <c r="IEK1223" s="3"/>
      <c r="IEL1223" s="4"/>
      <c r="IEM1223" s="4"/>
      <c r="IEN1223" s="18"/>
      <c r="IEO1223" s="3"/>
      <c r="IEP1223" s="4"/>
      <c r="IEQ1223" s="4"/>
      <c r="IER1223" s="18"/>
      <c r="IES1223" s="3"/>
      <c r="IET1223" s="4"/>
      <c r="IEU1223" s="4"/>
      <c r="IEV1223" s="18"/>
      <c r="IEW1223" s="3"/>
      <c r="IEX1223" s="4"/>
      <c r="IEY1223" s="4"/>
      <c r="IEZ1223" s="18"/>
      <c r="IFA1223" s="3"/>
      <c r="IFB1223" s="4"/>
      <c r="IFC1223" s="4"/>
      <c r="IFD1223" s="18"/>
      <c r="IFE1223" s="3"/>
      <c r="IFF1223" s="4"/>
      <c r="IFG1223" s="4"/>
      <c r="IFH1223" s="18"/>
      <c r="IFI1223" s="3"/>
      <c r="IFJ1223" s="4"/>
      <c r="IFK1223" s="4"/>
      <c r="IFL1223" s="18"/>
      <c r="IFM1223" s="3"/>
      <c r="IFN1223" s="4"/>
      <c r="IFO1223" s="4"/>
      <c r="IFP1223" s="18"/>
      <c r="IFQ1223" s="3"/>
      <c r="IFR1223" s="4"/>
      <c r="IFS1223" s="4"/>
      <c r="IFT1223" s="18"/>
      <c r="IFU1223" s="3"/>
      <c r="IFV1223" s="4"/>
      <c r="IFW1223" s="4"/>
      <c r="IFX1223" s="18"/>
      <c r="IFY1223" s="3"/>
      <c r="IFZ1223" s="4"/>
      <c r="IGA1223" s="4"/>
      <c r="IGB1223" s="18"/>
      <c r="IGC1223" s="3"/>
      <c r="IGD1223" s="4"/>
      <c r="IGE1223" s="4"/>
      <c r="IGF1223" s="18"/>
      <c r="IGG1223" s="3"/>
      <c r="IGH1223" s="4"/>
      <c r="IGI1223" s="4"/>
      <c r="IGJ1223" s="18"/>
      <c r="IGK1223" s="3"/>
      <c r="IGL1223" s="4"/>
      <c r="IGM1223" s="4"/>
      <c r="IGN1223" s="18"/>
      <c r="IGO1223" s="3"/>
      <c r="IGP1223" s="4"/>
      <c r="IGQ1223" s="4"/>
      <c r="IGR1223" s="18"/>
      <c r="IGS1223" s="3"/>
      <c r="IGT1223" s="4"/>
      <c r="IGU1223" s="4"/>
      <c r="IGV1223" s="18"/>
      <c r="IGW1223" s="3"/>
      <c r="IGX1223" s="4"/>
      <c r="IGY1223" s="4"/>
      <c r="IGZ1223" s="18"/>
      <c r="IHA1223" s="3"/>
      <c r="IHB1223" s="4"/>
      <c r="IHC1223" s="4"/>
      <c r="IHD1223" s="18"/>
      <c r="IHE1223" s="3"/>
      <c r="IHF1223" s="4"/>
      <c r="IHG1223" s="4"/>
      <c r="IHH1223" s="18"/>
      <c r="IHI1223" s="3"/>
      <c r="IHJ1223" s="4"/>
      <c r="IHK1223" s="4"/>
      <c r="IHL1223" s="18"/>
      <c r="IHM1223" s="3"/>
      <c r="IHN1223" s="4"/>
      <c r="IHO1223" s="4"/>
      <c r="IHP1223" s="18"/>
      <c r="IHQ1223" s="3"/>
      <c r="IHR1223" s="4"/>
      <c r="IHS1223" s="4"/>
      <c r="IHT1223" s="18"/>
      <c r="IHU1223" s="3"/>
      <c r="IHV1223" s="4"/>
      <c r="IHW1223" s="4"/>
      <c r="IHX1223" s="18"/>
      <c r="IHY1223" s="3"/>
      <c r="IHZ1223" s="4"/>
      <c r="IIA1223" s="4"/>
      <c r="IIB1223" s="18"/>
      <c r="IIC1223" s="3"/>
      <c r="IID1223" s="4"/>
      <c r="IIE1223" s="4"/>
      <c r="IIF1223" s="18"/>
      <c r="IIG1223" s="3"/>
      <c r="IIH1223" s="4"/>
      <c r="III1223" s="4"/>
      <c r="IIJ1223" s="18"/>
      <c r="IIK1223" s="3"/>
      <c r="IIL1223" s="4"/>
      <c r="IIM1223" s="4"/>
      <c r="IIN1223" s="18"/>
      <c r="IIO1223" s="3"/>
      <c r="IIP1223" s="4"/>
      <c r="IIQ1223" s="4"/>
      <c r="IIR1223" s="18"/>
      <c r="IIS1223" s="3"/>
      <c r="IIT1223" s="4"/>
      <c r="IIU1223" s="4"/>
      <c r="IIV1223" s="18"/>
      <c r="IIW1223" s="3"/>
      <c r="IIX1223" s="4"/>
      <c r="IIY1223" s="4"/>
      <c r="IIZ1223" s="18"/>
      <c r="IJA1223" s="3"/>
      <c r="IJB1223" s="4"/>
      <c r="IJC1223" s="4"/>
      <c r="IJD1223" s="18"/>
      <c r="IJE1223" s="3"/>
      <c r="IJF1223" s="4"/>
      <c r="IJG1223" s="4"/>
      <c r="IJH1223" s="18"/>
      <c r="IJI1223" s="3"/>
      <c r="IJJ1223" s="4"/>
      <c r="IJK1223" s="4"/>
      <c r="IJL1223" s="18"/>
      <c r="IJM1223" s="3"/>
      <c r="IJN1223" s="4"/>
      <c r="IJO1223" s="4"/>
      <c r="IJP1223" s="18"/>
      <c r="IJQ1223" s="3"/>
      <c r="IJR1223" s="4"/>
      <c r="IJS1223" s="4"/>
      <c r="IJT1223" s="18"/>
      <c r="IJU1223" s="3"/>
      <c r="IJV1223" s="4"/>
      <c r="IJW1223" s="4"/>
      <c r="IJX1223" s="18"/>
      <c r="IJY1223" s="3"/>
      <c r="IJZ1223" s="4"/>
      <c r="IKA1223" s="4"/>
      <c r="IKB1223" s="18"/>
      <c r="IKC1223" s="3"/>
      <c r="IKD1223" s="4"/>
      <c r="IKE1223" s="4"/>
      <c r="IKF1223" s="18"/>
      <c r="IKG1223" s="3"/>
      <c r="IKH1223" s="4"/>
      <c r="IKI1223" s="4"/>
      <c r="IKJ1223" s="18"/>
      <c r="IKK1223" s="3"/>
      <c r="IKL1223" s="4"/>
      <c r="IKM1223" s="4"/>
      <c r="IKN1223" s="18"/>
      <c r="IKO1223" s="3"/>
      <c r="IKP1223" s="4"/>
      <c r="IKQ1223" s="4"/>
      <c r="IKR1223" s="18"/>
      <c r="IKS1223" s="3"/>
      <c r="IKT1223" s="4"/>
      <c r="IKU1223" s="4"/>
      <c r="IKV1223" s="18"/>
      <c r="IKW1223" s="3"/>
      <c r="IKX1223" s="4"/>
      <c r="IKY1223" s="4"/>
      <c r="IKZ1223" s="18"/>
      <c r="ILA1223" s="3"/>
      <c r="ILB1223" s="4"/>
      <c r="ILC1223" s="4"/>
      <c r="ILD1223" s="18"/>
      <c r="ILE1223" s="3"/>
      <c r="ILF1223" s="4"/>
      <c r="ILG1223" s="4"/>
      <c r="ILH1223" s="18"/>
      <c r="ILI1223" s="3"/>
      <c r="ILJ1223" s="4"/>
      <c r="ILK1223" s="4"/>
      <c r="ILL1223" s="18"/>
      <c r="ILM1223" s="3"/>
      <c r="ILN1223" s="4"/>
      <c r="ILO1223" s="4"/>
      <c r="ILP1223" s="18"/>
      <c r="ILQ1223" s="3"/>
      <c r="ILR1223" s="4"/>
      <c r="ILS1223" s="4"/>
      <c r="ILT1223" s="18"/>
      <c r="ILU1223" s="3"/>
      <c r="ILV1223" s="4"/>
      <c r="ILW1223" s="4"/>
      <c r="ILX1223" s="18"/>
      <c r="ILY1223" s="3"/>
      <c r="ILZ1223" s="4"/>
      <c r="IMA1223" s="4"/>
      <c r="IMB1223" s="18"/>
      <c r="IMC1223" s="3"/>
      <c r="IMD1223" s="4"/>
      <c r="IME1223" s="4"/>
      <c r="IMF1223" s="18"/>
      <c r="IMG1223" s="3"/>
      <c r="IMH1223" s="4"/>
      <c r="IMI1223" s="4"/>
      <c r="IMJ1223" s="18"/>
      <c r="IMK1223" s="3"/>
      <c r="IML1223" s="4"/>
      <c r="IMM1223" s="4"/>
      <c r="IMN1223" s="18"/>
      <c r="IMO1223" s="3"/>
      <c r="IMP1223" s="4"/>
      <c r="IMQ1223" s="4"/>
      <c r="IMR1223" s="18"/>
      <c r="IMS1223" s="3"/>
      <c r="IMT1223" s="4"/>
      <c r="IMU1223" s="4"/>
      <c r="IMV1223" s="18"/>
      <c r="IMW1223" s="3"/>
      <c r="IMX1223" s="4"/>
      <c r="IMY1223" s="4"/>
      <c r="IMZ1223" s="18"/>
      <c r="INA1223" s="3"/>
      <c r="INB1223" s="4"/>
      <c r="INC1223" s="4"/>
      <c r="IND1223" s="18"/>
      <c r="INE1223" s="3"/>
      <c r="INF1223" s="4"/>
      <c r="ING1223" s="4"/>
      <c r="INH1223" s="18"/>
      <c r="INI1223" s="3"/>
      <c r="INJ1223" s="4"/>
      <c r="INK1223" s="4"/>
      <c r="INL1223" s="18"/>
      <c r="INM1223" s="3"/>
      <c r="INN1223" s="4"/>
      <c r="INO1223" s="4"/>
      <c r="INP1223" s="18"/>
      <c r="INQ1223" s="3"/>
      <c r="INR1223" s="4"/>
      <c r="INS1223" s="4"/>
      <c r="INT1223" s="18"/>
      <c r="INU1223" s="3"/>
      <c r="INV1223" s="4"/>
      <c r="INW1223" s="4"/>
      <c r="INX1223" s="18"/>
      <c r="INY1223" s="3"/>
      <c r="INZ1223" s="4"/>
      <c r="IOA1223" s="4"/>
      <c r="IOB1223" s="18"/>
      <c r="IOC1223" s="3"/>
      <c r="IOD1223" s="4"/>
      <c r="IOE1223" s="4"/>
      <c r="IOF1223" s="18"/>
      <c r="IOG1223" s="3"/>
      <c r="IOH1223" s="4"/>
      <c r="IOI1223" s="4"/>
      <c r="IOJ1223" s="18"/>
      <c r="IOK1223" s="3"/>
      <c r="IOL1223" s="4"/>
      <c r="IOM1223" s="4"/>
      <c r="ION1223" s="18"/>
      <c r="IOO1223" s="3"/>
      <c r="IOP1223" s="4"/>
      <c r="IOQ1223" s="4"/>
      <c r="IOR1223" s="18"/>
      <c r="IOS1223" s="3"/>
      <c r="IOT1223" s="4"/>
      <c r="IOU1223" s="4"/>
      <c r="IOV1223" s="18"/>
      <c r="IOW1223" s="3"/>
      <c r="IOX1223" s="4"/>
      <c r="IOY1223" s="4"/>
      <c r="IOZ1223" s="18"/>
      <c r="IPA1223" s="3"/>
      <c r="IPB1223" s="4"/>
      <c r="IPC1223" s="4"/>
      <c r="IPD1223" s="18"/>
      <c r="IPE1223" s="3"/>
      <c r="IPF1223" s="4"/>
      <c r="IPG1223" s="4"/>
      <c r="IPH1223" s="18"/>
      <c r="IPI1223" s="3"/>
      <c r="IPJ1223" s="4"/>
      <c r="IPK1223" s="4"/>
      <c r="IPL1223" s="18"/>
      <c r="IPM1223" s="3"/>
      <c r="IPN1223" s="4"/>
      <c r="IPO1223" s="4"/>
      <c r="IPP1223" s="18"/>
      <c r="IPQ1223" s="3"/>
      <c r="IPR1223" s="4"/>
      <c r="IPS1223" s="4"/>
      <c r="IPT1223" s="18"/>
      <c r="IPU1223" s="3"/>
      <c r="IPV1223" s="4"/>
      <c r="IPW1223" s="4"/>
      <c r="IPX1223" s="18"/>
      <c r="IPY1223" s="3"/>
      <c r="IPZ1223" s="4"/>
      <c r="IQA1223" s="4"/>
      <c r="IQB1223" s="18"/>
      <c r="IQC1223" s="3"/>
      <c r="IQD1223" s="4"/>
      <c r="IQE1223" s="4"/>
      <c r="IQF1223" s="18"/>
      <c r="IQG1223" s="3"/>
      <c r="IQH1223" s="4"/>
      <c r="IQI1223" s="4"/>
      <c r="IQJ1223" s="18"/>
      <c r="IQK1223" s="3"/>
      <c r="IQL1223" s="4"/>
      <c r="IQM1223" s="4"/>
      <c r="IQN1223" s="18"/>
      <c r="IQO1223" s="3"/>
      <c r="IQP1223" s="4"/>
      <c r="IQQ1223" s="4"/>
      <c r="IQR1223" s="18"/>
      <c r="IQS1223" s="3"/>
      <c r="IQT1223" s="4"/>
      <c r="IQU1223" s="4"/>
      <c r="IQV1223" s="18"/>
      <c r="IQW1223" s="3"/>
      <c r="IQX1223" s="4"/>
      <c r="IQY1223" s="4"/>
      <c r="IQZ1223" s="18"/>
      <c r="IRA1223" s="3"/>
      <c r="IRB1223" s="4"/>
      <c r="IRC1223" s="4"/>
      <c r="IRD1223" s="18"/>
      <c r="IRE1223" s="3"/>
      <c r="IRF1223" s="4"/>
      <c r="IRG1223" s="4"/>
      <c r="IRH1223" s="18"/>
      <c r="IRI1223" s="3"/>
      <c r="IRJ1223" s="4"/>
      <c r="IRK1223" s="4"/>
      <c r="IRL1223" s="18"/>
      <c r="IRM1223" s="3"/>
      <c r="IRN1223" s="4"/>
      <c r="IRO1223" s="4"/>
      <c r="IRP1223" s="18"/>
      <c r="IRQ1223" s="3"/>
      <c r="IRR1223" s="4"/>
      <c r="IRS1223" s="4"/>
      <c r="IRT1223" s="18"/>
      <c r="IRU1223" s="3"/>
      <c r="IRV1223" s="4"/>
      <c r="IRW1223" s="4"/>
      <c r="IRX1223" s="18"/>
      <c r="IRY1223" s="3"/>
      <c r="IRZ1223" s="4"/>
      <c r="ISA1223" s="4"/>
      <c r="ISB1223" s="18"/>
      <c r="ISC1223" s="3"/>
      <c r="ISD1223" s="4"/>
      <c r="ISE1223" s="4"/>
      <c r="ISF1223" s="18"/>
      <c r="ISG1223" s="3"/>
      <c r="ISH1223" s="4"/>
      <c r="ISI1223" s="4"/>
      <c r="ISJ1223" s="18"/>
      <c r="ISK1223" s="3"/>
      <c r="ISL1223" s="4"/>
      <c r="ISM1223" s="4"/>
      <c r="ISN1223" s="18"/>
      <c r="ISO1223" s="3"/>
      <c r="ISP1223" s="4"/>
      <c r="ISQ1223" s="4"/>
      <c r="ISR1223" s="18"/>
      <c r="ISS1223" s="3"/>
      <c r="IST1223" s="4"/>
      <c r="ISU1223" s="4"/>
      <c r="ISV1223" s="18"/>
      <c r="ISW1223" s="3"/>
      <c r="ISX1223" s="4"/>
      <c r="ISY1223" s="4"/>
      <c r="ISZ1223" s="18"/>
      <c r="ITA1223" s="3"/>
      <c r="ITB1223" s="4"/>
      <c r="ITC1223" s="4"/>
      <c r="ITD1223" s="18"/>
      <c r="ITE1223" s="3"/>
      <c r="ITF1223" s="4"/>
      <c r="ITG1223" s="4"/>
      <c r="ITH1223" s="18"/>
      <c r="ITI1223" s="3"/>
      <c r="ITJ1223" s="4"/>
      <c r="ITK1223" s="4"/>
      <c r="ITL1223" s="18"/>
      <c r="ITM1223" s="3"/>
      <c r="ITN1223" s="4"/>
      <c r="ITO1223" s="4"/>
      <c r="ITP1223" s="18"/>
      <c r="ITQ1223" s="3"/>
      <c r="ITR1223" s="4"/>
      <c r="ITS1223" s="4"/>
      <c r="ITT1223" s="18"/>
      <c r="ITU1223" s="3"/>
      <c r="ITV1223" s="4"/>
      <c r="ITW1223" s="4"/>
      <c r="ITX1223" s="18"/>
      <c r="ITY1223" s="3"/>
      <c r="ITZ1223" s="4"/>
      <c r="IUA1223" s="4"/>
      <c r="IUB1223" s="18"/>
      <c r="IUC1223" s="3"/>
      <c r="IUD1223" s="4"/>
      <c r="IUE1223" s="4"/>
      <c r="IUF1223" s="18"/>
      <c r="IUG1223" s="3"/>
      <c r="IUH1223" s="4"/>
      <c r="IUI1223" s="4"/>
      <c r="IUJ1223" s="18"/>
      <c r="IUK1223" s="3"/>
      <c r="IUL1223" s="4"/>
      <c r="IUM1223" s="4"/>
      <c r="IUN1223" s="18"/>
      <c r="IUO1223" s="3"/>
      <c r="IUP1223" s="4"/>
      <c r="IUQ1223" s="4"/>
      <c r="IUR1223" s="18"/>
      <c r="IUS1223" s="3"/>
      <c r="IUT1223" s="4"/>
      <c r="IUU1223" s="4"/>
      <c r="IUV1223" s="18"/>
      <c r="IUW1223" s="3"/>
      <c r="IUX1223" s="4"/>
      <c r="IUY1223" s="4"/>
      <c r="IUZ1223" s="18"/>
      <c r="IVA1223" s="3"/>
      <c r="IVB1223" s="4"/>
      <c r="IVC1223" s="4"/>
      <c r="IVD1223" s="18"/>
      <c r="IVE1223" s="3"/>
      <c r="IVF1223" s="4"/>
      <c r="IVG1223" s="4"/>
      <c r="IVH1223" s="18"/>
      <c r="IVI1223" s="3"/>
      <c r="IVJ1223" s="4"/>
      <c r="IVK1223" s="4"/>
      <c r="IVL1223" s="18"/>
      <c r="IVM1223" s="3"/>
      <c r="IVN1223" s="4"/>
      <c r="IVO1223" s="4"/>
      <c r="IVP1223" s="18"/>
      <c r="IVQ1223" s="3"/>
      <c r="IVR1223" s="4"/>
      <c r="IVS1223" s="4"/>
      <c r="IVT1223" s="18"/>
      <c r="IVU1223" s="3"/>
      <c r="IVV1223" s="4"/>
      <c r="IVW1223" s="4"/>
      <c r="IVX1223" s="18"/>
      <c r="IVY1223" s="3"/>
      <c r="IVZ1223" s="4"/>
      <c r="IWA1223" s="4"/>
      <c r="IWB1223" s="18"/>
      <c r="IWC1223" s="3"/>
      <c r="IWD1223" s="4"/>
      <c r="IWE1223" s="4"/>
      <c r="IWF1223" s="18"/>
      <c r="IWG1223" s="3"/>
      <c r="IWH1223" s="4"/>
      <c r="IWI1223" s="4"/>
      <c r="IWJ1223" s="18"/>
      <c r="IWK1223" s="3"/>
      <c r="IWL1223" s="4"/>
      <c r="IWM1223" s="4"/>
      <c r="IWN1223" s="18"/>
      <c r="IWO1223" s="3"/>
      <c r="IWP1223" s="4"/>
      <c r="IWQ1223" s="4"/>
      <c r="IWR1223" s="18"/>
      <c r="IWS1223" s="3"/>
      <c r="IWT1223" s="4"/>
      <c r="IWU1223" s="4"/>
      <c r="IWV1223" s="18"/>
      <c r="IWW1223" s="3"/>
      <c r="IWX1223" s="4"/>
      <c r="IWY1223" s="4"/>
      <c r="IWZ1223" s="18"/>
      <c r="IXA1223" s="3"/>
      <c r="IXB1223" s="4"/>
      <c r="IXC1223" s="4"/>
      <c r="IXD1223" s="18"/>
      <c r="IXE1223" s="3"/>
      <c r="IXF1223" s="4"/>
      <c r="IXG1223" s="4"/>
      <c r="IXH1223" s="18"/>
      <c r="IXI1223" s="3"/>
      <c r="IXJ1223" s="4"/>
      <c r="IXK1223" s="4"/>
      <c r="IXL1223" s="18"/>
      <c r="IXM1223" s="3"/>
      <c r="IXN1223" s="4"/>
      <c r="IXO1223" s="4"/>
      <c r="IXP1223" s="18"/>
      <c r="IXQ1223" s="3"/>
      <c r="IXR1223" s="4"/>
      <c r="IXS1223" s="4"/>
      <c r="IXT1223" s="18"/>
      <c r="IXU1223" s="3"/>
      <c r="IXV1223" s="4"/>
      <c r="IXW1223" s="4"/>
      <c r="IXX1223" s="18"/>
      <c r="IXY1223" s="3"/>
      <c r="IXZ1223" s="4"/>
      <c r="IYA1223" s="4"/>
      <c r="IYB1223" s="18"/>
      <c r="IYC1223" s="3"/>
      <c r="IYD1223" s="4"/>
      <c r="IYE1223" s="4"/>
      <c r="IYF1223" s="18"/>
      <c r="IYG1223" s="3"/>
      <c r="IYH1223" s="4"/>
      <c r="IYI1223" s="4"/>
      <c r="IYJ1223" s="18"/>
      <c r="IYK1223" s="3"/>
      <c r="IYL1223" s="4"/>
      <c r="IYM1223" s="4"/>
      <c r="IYN1223" s="18"/>
      <c r="IYO1223" s="3"/>
      <c r="IYP1223" s="4"/>
      <c r="IYQ1223" s="4"/>
      <c r="IYR1223" s="18"/>
      <c r="IYS1223" s="3"/>
      <c r="IYT1223" s="4"/>
      <c r="IYU1223" s="4"/>
      <c r="IYV1223" s="18"/>
      <c r="IYW1223" s="3"/>
      <c r="IYX1223" s="4"/>
      <c r="IYY1223" s="4"/>
      <c r="IYZ1223" s="18"/>
      <c r="IZA1223" s="3"/>
      <c r="IZB1223" s="4"/>
      <c r="IZC1223" s="4"/>
      <c r="IZD1223" s="18"/>
      <c r="IZE1223" s="3"/>
      <c r="IZF1223" s="4"/>
      <c r="IZG1223" s="4"/>
      <c r="IZH1223" s="18"/>
      <c r="IZI1223" s="3"/>
      <c r="IZJ1223" s="4"/>
      <c r="IZK1223" s="4"/>
      <c r="IZL1223" s="18"/>
      <c r="IZM1223" s="3"/>
      <c r="IZN1223" s="4"/>
      <c r="IZO1223" s="4"/>
      <c r="IZP1223" s="18"/>
      <c r="IZQ1223" s="3"/>
      <c r="IZR1223" s="4"/>
      <c r="IZS1223" s="4"/>
      <c r="IZT1223" s="18"/>
      <c r="IZU1223" s="3"/>
      <c r="IZV1223" s="4"/>
      <c r="IZW1223" s="4"/>
      <c r="IZX1223" s="18"/>
      <c r="IZY1223" s="3"/>
      <c r="IZZ1223" s="4"/>
      <c r="JAA1223" s="4"/>
      <c r="JAB1223" s="18"/>
      <c r="JAC1223" s="3"/>
      <c r="JAD1223" s="4"/>
      <c r="JAE1223" s="4"/>
      <c r="JAF1223" s="18"/>
      <c r="JAG1223" s="3"/>
      <c r="JAH1223" s="4"/>
      <c r="JAI1223" s="4"/>
      <c r="JAJ1223" s="18"/>
      <c r="JAK1223" s="3"/>
      <c r="JAL1223" s="4"/>
      <c r="JAM1223" s="4"/>
      <c r="JAN1223" s="18"/>
      <c r="JAO1223" s="3"/>
      <c r="JAP1223" s="4"/>
      <c r="JAQ1223" s="4"/>
      <c r="JAR1223" s="18"/>
      <c r="JAS1223" s="3"/>
      <c r="JAT1223" s="4"/>
      <c r="JAU1223" s="4"/>
      <c r="JAV1223" s="18"/>
      <c r="JAW1223" s="3"/>
      <c r="JAX1223" s="4"/>
      <c r="JAY1223" s="4"/>
      <c r="JAZ1223" s="18"/>
      <c r="JBA1223" s="3"/>
      <c r="JBB1223" s="4"/>
      <c r="JBC1223" s="4"/>
      <c r="JBD1223" s="18"/>
      <c r="JBE1223" s="3"/>
      <c r="JBF1223" s="4"/>
      <c r="JBG1223" s="4"/>
      <c r="JBH1223" s="18"/>
      <c r="JBI1223" s="3"/>
      <c r="JBJ1223" s="4"/>
      <c r="JBK1223" s="4"/>
      <c r="JBL1223" s="18"/>
      <c r="JBM1223" s="3"/>
      <c r="JBN1223" s="4"/>
      <c r="JBO1223" s="4"/>
      <c r="JBP1223" s="18"/>
      <c r="JBQ1223" s="3"/>
      <c r="JBR1223" s="4"/>
      <c r="JBS1223" s="4"/>
      <c r="JBT1223" s="18"/>
      <c r="JBU1223" s="3"/>
      <c r="JBV1223" s="4"/>
      <c r="JBW1223" s="4"/>
      <c r="JBX1223" s="18"/>
      <c r="JBY1223" s="3"/>
      <c r="JBZ1223" s="4"/>
      <c r="JCA1223" s="4"/>
      <c r="JCB1223" s="18"/>
      <c r="JCC1223" s="3"/>
      <c r="JCD1223" s="4"/>
      <c r="JCE1223" s="4"/>
      <c r="JCF1223" s="18"/>
      <c r="JCG1223" s="3"/>
      <c r="JCH1223" s="4"/>
      <c r="JCI1223" s="4"/>
      <c r="JCJ1223" s="18"/>
      <c r="JCK1223" s="3"/>
      <c r="JCL1223" s="4"/>
      <c r="JCM1223" s="4"/>
      <c r="JCN1223" s="18"/>
      <c r="JCO1223" s="3"/>
      <c r="JCP1223" s="4"/>
      <c r="JCQ1223" s="4"/>
      <c r="JCR1223" s="18"/>
      <c r="JCS1223" s="3"/>
      <c r="JCT1223" s="4"/>
      <c r="JCU1223" s="4"/>
      <c r="JCV1223" s="18"/>
      <c r="JCW1223" s="3"/>
      <c r="JCX1223" s="4"/>
      <c r="JCY1223" s="4"/>
      <c r="JCZ1223" s="18"/>
      <c r="JDA1223" s="3"/>
      <c r="JDB1223" s="4"/>
      <c r="JDC1223" s="4"/>
      <c r="JDD1223" s="18"/>
      <c r="JDE1223" s="3"/>
      <c r="JDF1223" s="4"/>
      <c r="JDG1223" s="4"/>
      <c r="JDH1223" s="18"/>
      <c r="JDI1223" s="3"/>
      <c r="JDJ1223" s="4"/>
      <c r="JDK1223" s="4"/>
      <c r="JDL1223" s="18"/>
      <c r="JDM1223" s="3"/>
      <c r="JDN1223" s="4"/>
      <c r="JDO1223" s="4"/>
      <c r="JDP1223" s="18"/>
      <c r="JDQ1223" s="3"/>
      <c r="JDR1223" s="4"/>
      <c r="JDS1223" s="4"/>
      <c r="JDT1223" s="18"/>
      <c r="JDU1223" s="3"/>
      <c r="JDV1223" s="4"/>
      <c r="JDW1223" s="4"/>
      <c r="JDX1223" s="18"/>
      <c r="JDY1223" s="3"/>
      <c r="JDZ1223" s="4"/>
      <c r="JEA1223" s="4"/>
      <c r="JEB1223" s="18"/>
      <c r="JEC1223" s="3"/>
      <c r="JED1223" s="4"/>
      <c r="JEE1223" s="4"/>
      <c r="JEF1223" s="18"/>
      <c r="JEG1223" s="3"/>
      <c r="JEH1223" s="4"/>
      <c r="JEI1223" s="4"/>
      <c r="JEJ1223" s="18"/>
      <c r="JEK1223" s="3"/>
      <c r="JEL1223" s="4"/>
      <c r="JEM1223" s="4"/>
      <c r="JEN1223" s="18"/>
      <c r="JEO1223" s="3"/>
      <c r="JEP1223" s="4"/>
      <c r="JEQ1223" s="4"/>
      <c r="JER1223" s="18"/>
      <c r="JES1223" s="3"/>
      <c r="JET1223" s="4"/>
      <c r="JEU1223" s="4"/>
      <c r="JEV1223" s="18"/>
      <c r="JEW1223" s="3"/>
      <c r="JEX1223" s="4"/>
      <c r="JEY1223" s="4"/>
      <c r="JEZ1223" s="18"/>
      <c r="JFA1223" s="3"/>
      <c r="JFB1223" s="4"/>
      <c r="JFC1223" s="4"/>
      <c r="JFD1223" s="18"/>
      <c r="JFE1223" s="3"/>
      <c r="JFF1223" s="4"/>
      <c r="JFG1223" s="4"/>
      <c r="JFH1223" s="18"/>
      <c r="JFI1223" s="3"/>
      <c r="JFJ1223" s="4"/>
      <c r="JFK1223" s="4"/>
      <c r="JFL1223" s="18"/>
      <c r="JFM1223" s="3"/>
      <c r="JFN1223" s="4"/>
      <c r="JFO1223" s="4"/>
      <c r="JFP1223" s="18"/>
      <c r="JFQ1223" s="3"/>
      <c r="JFR1223" s="4"/>
      <c r="JFS1223" s="4"/>
      <c r="JFT1223" s="18"/>
      <c r="JFU1223" s="3"/>
      <c r="JFV1223" s="4"/>
      <c r="JFW1223" s="4"/>
      <c r="JFX1223" s="18"/>
      <c r="JFY1223" s="3"/>
      <c r="JFZ1223" s="4"/>
      <c r="JGA1223" s="4"/>
      <c r="JGB1223" s="18"/>
      <c r="JGC1223" s="3"/>
      <c r="JGD1223" s="4"/>
      <c r="JGE1223" s="4"/>
      <c r="JGF1223" s="18"/>
      <c r="JGG1223" s="3"/>
      <c r="JGH1223" s="4"/>
      <c r="JGI1223" s="4"/>
      <c r="JGJ1223" s="18"/>
      <c r="JGK1223" s="3"/>
      <c r="JGL1223" s="4"/>
      <c r="JGM1223" s="4"/>
      <c r="JGN1223" s="18"/>
      <c r="JGO1223" s="3"/>
      <c r="JGP1223" s="4"/>
      <c r="JGQ1223" s="4"/>
      <c r="JGR1223" s="18"/>
      <c r="JGS1223" s="3"/>
      <c r="JGT1223" s="4"/>
      <c r="JGU1223" s="4"/>
      <c r="JGV1223" s="18"/>
      <c r="JGW1223" s="3"/>
      <c r="JGX1223" s="4"/>
      <c r="JGY1223" s="4"/>
      <c r="JGZ1223" s="18"/>
      <c r="JHA1223" s="3"/>
      <c r="JHB1223" s="4"/>
      <c r="JHC1223" s="4"/>
      <c r="JHD1223" s="18"/>
      <c r="JHE1223" s="3"/>
      <c r="JHF1223" s="4"/>
      <c r="JHG1223" s="4"/>
      <c r="JHH1223" s="18"/>
      <c r="JHI1223" s="3"/>
      <c r="JHJ1223" s="4"/>
      <c r="JHK1223" s="4"/>
      <c r="JHL1223" s="18"/>
      <c r="JHM1223" s="3"/>
      <c r="JHN1223" s="4"/>
      <c r="JHO1223" s="4"/>
      <c r="JHP1223" s="18"/>
      <c r="JHQ1223" s="3"/>
      <c r="JHR1223" s="4"/>
      <c r="JHS1223" s="4"/>
      <c r="JHT1223" s="18"/>
      <c r="JHU1223" s="3"/>
      <c r="JHV1223" s="4"/>
      <c r="JHW1223" s="4"/>
      <c r="JHX1223" s="18"/>
      <c r="JHY1223" s="3"/>
      <c r="JHZ1223" s="4"/>
      <c r="JIA1223" s="4"/>
      <c r="JIB1223" s="18"/>
      <c r="JIC1223" s="3"/>
      <c r="JID1223" s="4"/>
      <c r="JIE1223" s="4"/>
      <c r="JIF1223" s="18"/>
      <c r="JIG1223" s="3"/>
      <c r="JIH1223" s="4"/>
      <c r="JII1223" s="4"/>
      <c r="JIJ1223" s="18"/>
      <c r="JIK1223" s="3"/>
      <c r="JIL1223" s="4"/>
      <c r="JIM1223" s="4"/>
      <c r="JIN1223" s="18"/>
      <c r="JIO1223" s="3"/>
      <c r="JIP1223" s="4"/>
      <c r="JIQ1223" s="4"/>
      <c r="JIR1223" s="18"/>
      <c r="JIS1223" s="3"/>
      <c r="JIT1223" s="4"/>
      <c r="JIU1223" s="4"/>
      <c r="JIV1223" s="18"/>
      <c r="JIW1223" s="3"/>
      <c r="JIX1223" s="4"/>
      <c r="JIY1223" s="4"/>
      <c r="JIZ1223" s="18"/>
      <c r="JJA1223" s="3"/>
      <c r="JJB1223" s="4"/>
      <c r="JJC1223" s="4"/>
      <c r="JJD1223" s="18"/>
      <c r="JJE1223" s="3"/>
      <c r="JJF1223" s="4"/>
      <c r="JJG1223" s="4"/>
      <c r="JJH1223" s="18"/>
      <c r="JJI1223" s="3"/>
      <c r="JJJ1223" s="4"/>
      <c r="JJK1223" s="4"/>
      <c r="JJL1223" s="18"/>
      <c r="JJM1223" s="3"/>
      <c r="JJN1223" s="4"/>
      <c r="JJO1223" s="4"/>
      <c r="JJP1223" s="18"/>
      <c r="JJQ1223" s="3"/>
      <c r="JJR1223" s="4"/>
      <c r="JJS1223" s="4"/>
      <c r="JJT1223" s="18"/>
      <c r="JJU1223" s="3"/>
      <c r="JJV1223" s="4"/>
      <c r="JJW1223" s="4"/>
      <c r="JJX1223" s="18"/>
      <c r="JJY1223" s="3"/>
      <c r="JJZ1223" s="4"/>
      <c r="JKA1223" s="4"/>
      <c r="JKB1223" s="18"/>
      <c r="JKC1223" s="3"/>
      <c r="JKD1223" s="4"/>
      <c r="JKE1223" s="4"/>
      <c r="JKF1223" s="18"/>
      <c r="JKG1223" s="3"/>
      <c r="JKH1223" s="4"/>
      <c r="JKI1223" s="4"/>
      <c r="JKJ1223" s="18"/>
      <c r="JKK1223" s="3"/>
      <c r="JKL1223" s="4"/>
      <c r="JKM1223" s="4"/>
      <c r="JKN1223" s="18"/>
      <c r="JKO1223" s="3"/>
      <c r="JKP1223" s="4"/>
      <c r="JKQ1223" s="4"/>
      <c r="JKR1223" s="18"/>
      <c r="JKS1223" s="3"/>
      <c r="JKT1223" s="4"/>
      <c r="JKU1223" s="4"/>
      <c r="JKV1223" s="18"/>
      <c r="JKW1223" s="3"/>
      <c r="JKX1223" s="4"/>
      <c r="JKY1223" s="4"/>
      <c r="JKZ1223" s="18"/>
      <c r="JLA1223" s="3"/>
      <c r="JLB1223" s="4"/>
      <c r="JLC1223" s="4"/>
      <c r="JLD1223" s="18"/>
      <c r="JLE1223" s="3"/>
      <c r="JLF1223" s="4"/>
      <c r="JLG1223" s="4"/>
      <c r="JLH1223" s="18"/>
      <c r="JLI1223" s="3"/>
      <c r="JLJ1223" s="4"/>
      <c r="JLK1223" s="4"/>
      <c r="JLL1223" s="18"/>
      <c r="JLM1223" s="3"/>
      <c r="JLN1223" s="4"/>
      <c r="JLO1223" s="4"/>
      <c r="JLP1223" s="18"/>
      <c r="JLQ1223" s="3"/>
      <c r="JLR1223" s="4"/>
      <c r="JLS1223" s="4"/>
      <c r="JLT1223" s="18"/>
      <c r="JLU1223" s="3"/>
      <c r="JLV1223" s="4"/>
      <c r="JLW1223" s="4"/>
      <c r="JLX1223" s="18"/>
      <c r="JLY1223" s="3"/>
      <c r="JLZ1223" s="4"/>
      <c r="JMA1223" s="4"/>
      <c r="JMB1223" s="18"/>
      <c r="JMC1223" s="3"/>
      <c r="JMD1223" s="4"/>
      <c r="JME1223" s="4"/>
      <c r="JMF1223" s="18"/>
      <c r="JMG1223" s="3"/>
      <c r="JMH1223" s="4"/>
      <c r="JMI1223" s="4"/>
      <c r="JMJ1223" s="18"/>
      <c r="JMK1223" s="3"/>
      <c r="JML1223" s="4"/>
      <c r="JMM1223" s="4"/>
      <c r="JMN1223" s="18"/>
      <c r="JMO1223" s="3"/>
      <c r="JMP1223" s="4"/>
      <c r="JMQ1223" s="4"/>
      <c r="JMR1223" s="18"/>
      <c r="JMS1223" s="3"/>
      <c r="JMT1223" s="4"/>
      <c r="JMU1223" s="4"/>
      <c r="JMV1223" s="18"/>
      <c r="JMW1223" s="3"/>
      <c r="JMX1223" s="4"/>
      <c r="JMY1223" s="4"/>
      <c r="JMZ1223" s="18"/>
      <c r="JNA1223" s="3"/>
      <c r="JNB1223" s="4"/>
      <c r="JNC1223" s="4"/>
      <c r="JND1223" s="18"/>
      <c r="JNE1223" s="3"/>
      <c r="JNF1223" s="4"/>
      <c r="JNG1223" s="4"/>
      <c r="JNH1223" s="18"/>
      <c r="JNI1223" s="3"/>
      <c r="JNJ1223" s="4"/>
      <c r="JNK1223" s="4"/>
      <c r="JNL1223" s="18"/>
      <c r="JNM1223" s="3"/>
      <c r="JNN1223" s="4"/>
      <c r="JNO1223" s="4"/>
      <c r="JNP1223" s="18"/>
      <c r="JNQ1223" s="3"/>
      <c r="JNR1223" s="4"/>
      <c r="JNS1223" s="4"/>
      <c r="JNT1223" s="18"/>
      <c r="JNU1223" s="3"/>
      <c r="JNV1223" s="4"/>
      <c r="JNW1223" s="4"/>
      <c r="JNX1223" s="18"/>
      <c r="JNY1223" s="3"/>
      <c r="JNZ1223" s="4"/>
      <c r="JOA1223" s="4"/>
      <c r="JOB1223" s="18"/>
      <c r="JOC1223" s="3"/>
      <c r="JOD1223" s="4"/>
      <c r="JOE1223" s="4"/>
      <c r="JOF1223" s="18"/>
      <c r="JOG1223" s="3"/>
      <c r="JOH1223" s="4"/>
      <c r="JOI1223" s="4"/>
      <c r="JOJ1223" s="18"/>
      <c r="JOK1223" s="3"/>
      <c r="JOL1223" s="4"/>
      <c r="JOM1223" s="4"/>
      <c r="JON1223" s="18"/>
      <c r="JOO1223" s="3"/>
      <c r="JOP1223" s="4"/>
      <c r="JOQ1223" s="4"/>
      <c r="JOR1223" s="18"/>
      <c r="JOS1223" s="3"/>
      <c r="JOT1223" s="4"/>
      <c r="JOU1223" s="4"/>
      <c r="JOV1223" s="18"/>
      <c r="JOW1223" s="3"/>
      <c r="JOX1223" s="4"/>
      <c r="JOY1223" s="4"/>
      <c r="JOZ1223" s="18"/>
      <c r="JPA1223" s="3"/>
      <c r="JPB1223" s="4"/>
      <c r="JPC1223" s="4"/>
      <c r="JPD1223" s="18"/>
      <c r="JPE1223" s="3"/>
      <c r="JPF1223" s="4"/>
      <c r="JPG1223" s="4"/>
      <c r="JPH1223" s="18"/>
      <c r="JPI1223" s="3"/>
      <c r="JPJ1223" s="4"/>
      <c r="JPK1223" s="4"/>
      <c r="JPL1223" s="18"/>
      <c r="JPM1223" s="3"/>
      <c r="JPN1223" s="4"/>
      <c r="JPO1223" s="4"/>
      <c r="JPP1223" s="18"/>
      <c r="JPQ1223" s="3"/>
      <c r="JPR1223" s="4"/>
      <c r="JPS1223" s="4"/>
      <c r="JPT1223" s="18"/>
      <c r="JPU1223" s="3"/>
      <c r="JPV1223" s="4"/>
      <c r="JPW1223" s="4"/>
      <c r="JPX1223" s="18"/>
      <c r="JPY1223" s="3"/>
      <c r="JPZ1223" s="4"/>
      <c r="JQA1223" s="4"/>
      <c r="JQB1223" s="18"/>
      <c r="JQC1223" s="3"/>
      <c r="JQD1223" s="4"/>
      <c r="JQE1223" s="4"/>
      <c r="JQF1223" s="18"/>
      <c r="JQG1223" s="3"/>
      <c r="JQH1223" s="4"/>
      <c r="JQI1223" s="4"/>
      <c r="JQJ1223" s="18"/>
      <c r="JQK1223" s="3"/>
      <c r="JQL1223" s="4"/>
      <c r="JQM1223" s="4"/>
      <c r="JQN1223" s="18"/>
      <c r="JQO1223" s="3"/>
      <c r="JQP1223" s="4"/>
      <c r="JQQ1223" s="4"/>
      <c r="JQR1223" s="18"/>
      <c r="JQS1223" s="3"/>
      <c r="JQT1223" s="4"/>
      <c r="JQU1223" s="4"/>
      <c r="JQV1223" s="18"/>
      <c r="JQW1223" s="3"/>
      <c r="JQX1223" s="4"/>
      <c r="JQY1223" s="4"/>
      <c r="JQZ1223" s="18"/>
      <c r="JRA1223" s="3"/>
      <c r="JRB1223" s="4"/>
      <c r="JRC1223" s="4"/>
      <c r="JRD1223" s="18"/>
      <c r="JRE1223" s="3"/>
      <c r="JRF1223" s="4"/>
      <c r="JRG1223" s="4"/>
      <c r="JRH1223" s="18"/>
      <c r="JRI1223" s="3"/>
      <c r="JRJ1223" s="4"/>
      <c r="JRK1223" s="4"/>
      <c r="JRL1223" s="18"/>
      <c r="JRM1223" s="3"/>
      <c r="JRN1223" s="4"/>
      <c r="JRO1223" s="4"/>
      <c r="JRP1223" s="18"/>
      <c r="JRQ1223" s="3"/>
      <c r="JRR1223" s="4"/>
      <c r="JRS1223" s="4"/>
      <c r="JRT1223" s="18"/>
      <c r="JRU1223" s="3"/>
      <c r="JRV1223" s="4"/>
      <c r="JRW1223" s="4"/>
      <c r="JRX1223" s="18"/>
      <c r="JRY1223" s="3"/>
      <c r="JRZ1223" s="4"/>
      <c r="JSA1223" s="4"/>
      <c r="JSB1223" s="18"/>
      <c r="JSC1223" s="3"/>
      <c r="JSD1223" s="4"/>
      <c r="JSE1223" s="4"/>
      <c r="JSF1223" s="18"/>
      <c r="JSG1223" s="3"/>
      <c r="JSH1223" s="4"/>
      <c r="JSI1223" s="4"/>
      <c r="JSJ1223" s="18"/>
      <c r="JSK1223" s="3"/>
      <c r="JSL1223" s="4"/>
      <c r="JSM1223" s="4"/>
      <c r="JSN1223" s="18"/>
      <c r="JSO1223" s="3"/>
      <c r="JSP1223" s="4"/>
      <c r="JSQ1223" s="4"/>
      <c r="JSR1223" s="18"/>
      <c r="JSS1223" s="3"/>
      <c r="JST1223" s="4"/>
      <c r="JSU1223" s="4"/>
      <c r="JSV1223" s="18"/>
      <c r="JSW1223" s="3"/>
      <c r="JSX1223" s="4"/>
      <c r="JSY1223" s="4"/>
      <c r="JSZ1223" s="18"/>
      <c r="JTA1223" s="3"/>
      <c r="JTB1223" s="4"/>
      <c r="JTC1223" s="4"/>
      <c r="JTD1223" s="18"/>
      <c r="JTE1223" s="3"/>
      <c r="JTF1223" s="4"/>
      <c r="JTG1223" s="4"/>
      <c r="JTH1223" s="18"/>
      <c r="JTI1223" s="3"/>
      <c r="JTJ1223" s="4"/>
      <c r="JTK1223" s="4"/>
      <c r="JTL1223" s="18"/>
      <c r="JTM1223" s="3"/>
      <c r="JTN1223" s="4"/>
      <c r="JTO1223" s="4"/>
      <c r="JTP1223" s="18"/>
      <c r="JTQ1223" s="3"/>
      <c r="JTR1223" s="4"/>
      <c r="JTS1223" s="4"/>
      <c r="JTT1223" s="18"/>
      <c r="JTU1223" s="3"/>
      <c r="JTV1223" s="4"/>
      <c r="JTW1223" s="4"/>
      <c r="JTX1223" s="18"/>
      <c r="JTY1223" s="3"/>
      <c r="JTZ1223" s="4"/>
      <c r="JUA1223" s="4"/>
      <c r="JUB1223" s="18"/>
      <c r="JUC1223" s="3"/>
      <c r="JUD1223" s="4"/>
      <c r="JUE1223" s="4"/>
      <c r="JUF1223" s="18"/>
      <c r="JUG1223" s="3"/>
      <c r="JUH1223" s="4"/>
      <c r="JUI1223" s="4"/>
      <c r="JUJ1223" s="18"/>
      <c r="JUK1223" s="3"/>
      <c r="JUL1223" s="4"/>
      <c r="JUM1223" s="4"/>
      <c r="JUN1223" s="18"/>
      <c r="JUO1223" s="3"/>
      <c r="JUP1223" s="4"/>
      <c r="JUQ1223" s="4"/>
      <c r="JUR1223" s="18"/>
      <c r="JUS1223" s="3"/>
      <c r="JUT1223" s="4"/>
      <c r="JUU1223" s="4"/>
      <c r="JUV1223" s="18"/>
      <c r="JUW1223" s="3"/>
      <c r="JUX1223" s="4"/>
      <c r="JUY1223" s="4"/>
      <c r="JUZ1223" s="18"/>
      <c r="JVA1223" s="3"/>
      <c r="JVB1223" s="4"/>
      <c r="JVC1223" s="4"/>
      <c r="JVD1223" s="18"/>
      <c r="JVE1223" s="3"/>
      <c r="JVF1223" s="4"/>
      <c r="JVG1223" s="4"/>
      <c r="JVH1223" s="18"/>
      <c r="JVI1223" s="3"/>
      <c r="JVJ1223" s="4"/>
      <c r="JVK1223" s="4"/>
      <c r="JVL1223" s="18"/>
      <c r="JVM1223" s="3"/>
      <c r="JVN1223" s="4"/>
      <c r="JVO1223" s="4"/>
      <c r="JVP1223" s="18"/>
      <c r="JVQ1223" s="3"/>
      <c r="JVR1223" s="4"/>
      <c r="JVS1223" s="4"/>
      <c r="JVT1223" s="18"/>
      <c r="JVU1223" s="3"/>
      <c r="JVV1223" s="4"/>
      <c r="JVW1223" s="4"/>
      <c r="JVX1223" s="18"/>
      <c r="JVY1223" s="3"/>
      <c r="JVZ1223" s="4"/>
      <c r="JWA1223" s="4"/>
      <c r="JWB1223" s="18"/>
      <c r="JWC1223" s="3"/>
      <c r="JWD1223" s="4"/>
      <c r="JWE1223" s="4"/>
      <c r="JWF1223" s="18"/>
      <c r="JWG1223" s="3"/>
      <c r="JWH1223" s="4"/>
      <c r="JWI1223" s="4"/>
      <c r="JWJ1223" s="18"/>
      <c r="JWK1223" s="3"/>
      <c r="JWL1223" s="4"/>
      <c r="JWM1223" s="4"/>
      <c r="JWN1223" s="18"/>
      <c r="JWO1223" s="3"/>
      <c r="JWP1223" s="4"/>
      <c r="JWQ1223" s="4"/>
      <c r="JWR1223" s="18"/>
      <c r="JWS1223" s="3"/>
      <c r="JWT1223" s="4"/>
      <c r="JWU1223" s="4"/>
      <c r="JWV1223" s="18"/>
      <c r="JWW1223" s="3"/>
      <c r="JWX1223" s="4"/>
      <c r="JWY1223" s="4"/>
      <c r="JWZ1223" s="18"/>
      <c r="JXA1223" s="3"/>
      <c r="JXB1223" s="4"/>
      <c r="JXC1223" s="4"/>
      <c r="JXD1223" s="18"/>
      <c r="JXE1223" s="3"/>
      <c r="JXF1223" s="4"/>
      <c r="JXG1223" s="4"/>
      <c r="JXH1223" s="18"/>
      <c r="JXI1223" s="3"/>
      <c r="JXJ1223" s="4"/>
      <c r="JXK1223" s="4"/>
      <c r="JXL1223" s="18"/>
      <c r="JXM1223" s="3"/>
      <c r="JXN1223" s="4"/>
      <c r="JXO1223" s="4"/>
      <c r="JXP1223" s="18"/>
      <c r="JXQ1223" s="3"/>
      <c r="JXR1223" s="4"/>
      <c r="JXS1223" s="4"/>
      <c r="JXT1223" s="18"/>
      <c r="JXU1223" s="3"/>
      <c r="JXV1223" s="4"/>
      <c r="JXW1223" s="4"/>
      <c r="JXX1223" s="18"/>
      <c r="JXY1223" s="3"/>
      <c r="JXZ1223" s="4"/>
      <c r="JYA1223" s="4"/>
      <c r="JYB1223" s="18"/>
      <c r="JYC1223" s="3"/>
      <c r="JYD1223" s="4"/>
      <c r="JYE1223" s="4"/>
      <c r="JYF1223" s="18"/>
      <c r="JYG1223" s="3"/>
      <c r="JYH1223" s="4"/>
      <c r="JYI1223" s="4"/>
      <c r="JYJ1223" s="18"/>
      <c r="JYK1223" s="3"/>
      <c r="JYL1223" s="4"/>
      <c r="JYM1223" s="4"/>
      <c r="JYN1223" s="18"/>
      <c r="JYO1223" s="3"/>
      <c r="JYP1223" s="4"/>
      <c r="JYQ1223" s="4"/>
      <c r="JYR1223" s="18"/>
      <c r="JYS1223" s="3"/>
      <c r="JYT1223" s="4"/>
      <c r="JYU1223" s="4"/>
      <c r="JYV1223" s="18"/>
      <c r="JYW1223" s="3"/>
      <c r="JYX1223" s="4"/>
      <c r="JYY1223" s="4"/>
      <c r="JYZ1223" s="18"/>
      <c r="JZA1223" s="3"/>
      <c r="JZB1223" s="4"/>
      <c r="JZC1223" s="4"/>
      <c r="JZD1223" s="18"/>
      <c r="JZE1223" s="3"/>
      <c r="JZF1223" s="4"/>
      <c r="JZG1223" s="4"/>
      <c r="JZH1223" s="18"/>
      <c r="JZI1223" s="3"/>
      <c r="JZJ1223" s="4"/>
      <c r="JZK1223" s="4"/>
      <c r="JZL1223" s="18"/>
      <c r="JZM1223" s="3"/>
      <c r="JZN1223" s="4"/>
      <c r="JZO1223" s="4"/>
      <c r="JZP1223" s="18"/>
      <c r="JZQ1223" s="3"/>
      <c r="JZR1223" s="4"/>
      <c r="JZS1223" s="4"/>
      <c r="JZT1223" s="18"/>
      <c r="JZU1223" s="3"/>
      <c r="JZV1223" s="4"/>
      <c r="JZW1223" s="4"/>
      <c r="JZX1223" s="18"/>
      <c r="JZY1223" s="3"/>
      <c r="JZZ1223" s="4"/>
      <c r="KAA1223" s="4"/>
      <c r="KAB1223" s="18"/>
      <c r="KAC1223" s="3"/>
      <c r="KAD1223" s="4"/>
      <c r="KAE1223" s="4"/>
      <c r="KAF1223" s="18"/>
      <c r="KAG1223" s="3"/>
      <c r="KAH1223" s="4"/>
      <c r="KAI1223" s="4"/>
      <c r="KAJ1223" s="18"/>
      <c r="KAK1223" s="3"/>
      <c r="KAL1223" s="4"/>
      <c r="KAM1223" s="4"/>
      <c r="KAN1223" s="18"/>
      <c r="KAO1223" s="3"/>
      <c r="KAP1223" s="4"/>
      <c r="KAQ1223" s="4"/>
      <c r="KAR1223" s="18"/>
      <c r="KAS1223" s="3"/>
      <c r="KAT1223" s="4"/>
      <c r="KAU1223" s="4"/>
      <c r="KAV1223" s="18"/>
      <c r="KAW1223" s="3"/>
      <c r="KAX1223" s="4"/>
      <c r="KAY1223" s="4"/>
      <c r="KAZ1223" s="18"/>
      <c r="KBA1223" s="3"/>
      <c r="KBB1223" s="4"/>
      <c r="KBC1223" s="4"/>
      <c r="KBD1223" s="18"/>
      <c r="KBE1223" s="3"/>
      <c r="KBF1223" s="4"/>
      <c r="KBG1223" s="4"/>
      <c r="KBH1223" s="18"/>
      <c r="KBI1223" s="3"/>
      <c r="KBJ1223" s="4"/>
      <c r="KBK1223" s="4"/>
      <c r="KBL1223" s="18"/>
      <c r="KBM1223" s="3"/>
      <c r="KBN1223" s="4"/>
      <c r="KBO1223" s="4"/>
      <c r="KBP1223" s="18"/>
      <c r="KBQ1223" s="3"/>
      <c r="KBR1223" s="4"/>
      <c r="KBS1223" s="4"/>
      <c r="KBT1223" s="18"/>
      <c r="KBU1223" s="3"/>
      <c r="KBV1223" s="4"/>
      <c r="KBW1223" s="4"/>
      <c r="KBX1223" s="18"/>
      <c r="KBY1223" s="3"/>
      <c r="KBZ1223" s="4"/>
      <c r="KCA1223" s="4"/>
      <c r="KCB1223" s="18"/>
      <c r="KCC1223" s="3"/>
      <c r="KCD1223" s="4"/>
      <c r="KCE1223" s="4"/>
      <c r="KCF1223" s="18"/>
      <c r="KCG1223" s="3"/>
      <c r="KCH1223" s="4"/>
      <c r="KCI1223" s="4"/>
      <c r="KCJ1223" s="18"/>
      <c r="KCK1223" s="3"/>
      <c r="KCL1223" s="4"/>
      <c r="KCM1223" s="4"/>
      <c r="KCN1223" s="18"/>
      <c r="KCO1223" s="3"/>
      <c r="KCP1223" s="4"/>
      <c r="KCQ1223" s="4"/>
      <c r="KCR1223" s="18"/>
      <c r="KCS1223" s="3"/>
      <c r="KCT1223" s="4"/>
      <c r="KCU1223" s="4"/>
      <c r="KCV1223" s="18"/>
      <c r="KCW1223" s="3"/>
      <c r="KCX1223" s="4"/>
      <c r="KCY1223" s="4"/>
      <c r="KCZ1223" s="18"/>
      <c r="KDA1223" s="3"/>
      <c r="KDB1223" s="4"/>
      <c r="KDC1223" s="4"/>
      <c r="KDD1223" s="18"/>
      <c r="KDE1223" s="3"/>
      <c r="KDF1223" s="4"/>
      <c r="KDG1223" s="4"/>
      <c r="KDH1223" s="18"/>
      <c r="KDI1223" s="3"/>
      <c r="KDJ1223" s="4"/>
      <c r="KDK1223" s="4"/>
      <c r="KDL1223" s="18"/>
      <c r="KDM1223" s="3"/>
      <c r="KDN1223" s="4"/>
      <c r="KDO1223" s="4"/>
      <c r="KDP1223" s="18"/>
      <c r="KDQ1223" s="3"/>
      <c r="KDR1223" s="4"/>
      <c r="KDS1223" s="4"/>
      <c r="KDT1223" s="18"/>
      <c r="KDU1223" s="3"/>
      <c r="KDV1223" s="4"/>
      <c r="KDW1223" s="4"/>
      <c r="KDX1223" s="18"/>
      <c r="KDY1223" s="3"/>
      <c r="KDZ1223" s="4"/>
      <c r="KEA1223" s="4"/>
      <c r="KEB1223" s="18"/>
      <c r="KEC1223" s="3"/>
      <c r="KED1223" s="4"/>
      <c r="KEE1223" s="4"/>
      <c r="KEF1223" s="18"/>
      <c r="KEG1223" s="3"/>
      <c r="KEH1223" s="4"/>
      <c r="KEI1223" s="4"/>
      <c r="KEJ1223" s="18"/>
      <c r="KEK1223" s="3"/>
      <c r="KEL1223" s="4"/>
      <c r="KEM1223" s="4"/>
      <c r="KEN1223" s="18"/>
      <c r="KEO1223" s="3"/>
      <c r="KEP1223" s="4"/>
      <c r="KEQ1223" s="4"/>
      <c r="KER1223" s="18"/>
      <c r="KES1223" s="3"/>
      <c r="KET1223" s="4"/>
      <c r="KEU1223" s="4"/>
      <c r="KEV1223" s="18"/>
      <c r="KEW1223" s="3"/>
      <c r="KEX1223" s="4"/>
      <c r="KEY1223" s="4"/>
      <c r="KEZ1223" s="18"/>
      <c r="KFA1223" s="3"/>
      <c r="KFB1223" s="4"/>
      <c r="KFC1223" s="4"/>
      <c r="KFD1223" s="18"/>
      <c r="KFE1223" s="3"/>
      <c r="KFF1223" s="4"/>
      <c r="KFG1223" s="4"/>
      <c r="KFH1223" s="18"/>
      <c r="KFI1223" s="3"/>
      <c r="KFJ1223" s="4"/>
      <c r="KFK1223" s="4"/>
      <c r="KFL1223" s="18"/>
      <c r="KFM1223" s="3"/>
      <c r="KFN1223" s="4"/>
      <c r="KFO1223" s="4"/>
      <c r="KFP1223" s="18"/>
      <c r="KFQ1223" s="3"/>
      <c r="KFR1223" s="4"/>
      <c r="KFS1223" s="4"/>
      <c r="KFT1223" s="18"/>
      <c r="KFU1223" s="3"/>
      <c r="KFV1223" s="4"/>
      <c r="KFW1223" s="4"/>
      <c r="KFX1223" s="18"/>
      <c r="KFY1223" s="3"/>
      <c r="KFZ1223" s="4"/>
      <c r="KGA1223" s="4"/>
      <c r="KGB1223" s="18"/>
      <c r="KGC1223" s="3"/>
      <c r="KGD1223" s="4"/>
      <c r="KGE1223" s="4"/>
      <c r="KGF1223" s="18"/>
      <c r="KGG1223" s="3"/>
      <c r="KGH1223" s="4"/>
      <c r="KGI1223" s="4"/>
      <c r="KGJ1223" s="18"/>
      <c r="KGK1223" s="3"/>
      <c r="KGL1223" s="4"/>
      <c r="KGM1223" s="4"/>
      <c r="KGN1223" s="18"/>
      <c r="KGO1223" s="3"/>
      <c r="KGP1223" s="4"/>
      <c r="KGQ1223" s="4"/>
      <c r="KGR1223" s="18"/>
      <c r="KGS1223" s="3"/>
      <c r="KGT1223" s="4"/>
      <c r="KGU1223" s="4"/>
      <c r="KGV1223" s="18"/>
      <c r="KGW1223" s="3"/>
      <c r="KGX1223" s="4"/>
      <c r="KGY1223" s="4"/>
      <c r="KGZ1223" s="18"/>
      <c r="KHA1223" s="3"/>
      <c r="KHB1223" s="4"/>
      <c r="KHC1223" s="4"/>
      <c r="KHD1223" s="18"/>
      <c r="KHE1223" s="3"/>
      <c r="KHF1223" s="4"/>
      <c r="KHG1223" s="4"/>
      <c r="KHH1223" s="18"/>
      <c r="KHI1223" s="3"/>
      <c r="KHJ1223" s="4"/>
      <c r="KHK1223" s="4"/>
      <c r="KHL1223" s="18"/>
      <c r="KHM1223" s="3"/>
      <c r="KHN1223" s="4"/>
      <c r="KHO1223" s="4"/>
      <c r="KHP1223" s="18"/>
      <c r="KHQ1223" s="3"/>
      <c r="KHR1223" s="4"/>
      <c r="KHS1223" s="4"/>
      <c r="KHT1223" s="18"/>
      <c r="KHU1223" s="3"/>
      <c r="KHV1223" s="4"/>
      <c r="KHW1223" s="4"/>
      <c r="KHX1223" s="18"/>
      <c r="KHY1223" s="3"/>
      <c r="KHZ1223" s="4"/>
      <c r="KIA1223" s="4"/>
      <c r="KIB1223" s="18"/>
      <c r="KIC1223" s="3"/>
      <c r="KID1223" s="4"/>
      <c r="KIE1223" s="4"/>
      <c r="KIF1223" s="18"/>
      <c r="KIG1223" s="3"/>
      <c r="KIH1223" s="4"/>
      <c r="KII1223" s="4"/>
      <c r="KIJ1223" s="18"/>
      <c r="KIK1223" s="3"/>
      <c r="KIL1223" s="4"/>
      <c r="KIM1223" s="4"/>
      <c r="KIN1223" s="18"/>
      <c r="KIO1223" s="3"/>
      <c r="KIP1223" s="4"/>
      <c r="KIQ1223" s="4"/>
      <c r="KIR1223" s="18"/>
      <c r="KIS1223" s="3"/>
      <c r="KIT1223" s="4"/>
      <c r="KIU1223" s="4"/>
      <c r="KIV1223" s="18"/>
      <c r="KIW1223" s="3"/>
      <c r="KIX1223" s="4"/>
      <c r="KIY1223" s="4"/>
      <c r="KIZ1223" s="18"/>
      <c r="KJA1223" s="3"/>
      <c r="KJB1223" s="4"/>
      <c r="KJC1223" s="4"/>
      <c r="KJD1223" s="18"/>
      <c r="KJE1223" s="3"/>
      <c r="KJF1223" s="4"/>
      <c r="KJG1223" s="4"/>
      <c r="KJH1223" s="18"/>
      <c r="KJI1223" s="3"/>
      <c r="KJJ1223" s="4"/>
      <c r="KJK1223" s="4"/>
      <c r="KJL1223" s="18"/>
      <c r="KJM1223" s="3"/>
      <c r="KJN1223" s="4"/>
      <c r="KJO1223" s="4"/>
      <c r="KJP1223" s="18"/>
      <c r="KJQ1223" s="3"/>
      <c r="KJR1223" s="4"/>
      <c r="KJS1223" s="4"/>
      <c r="KJT1223" s="18"/>
      <c r="KJU1223" s="3"/>
      <c r="KJV1223" s="4"/>
      <c r="KJW1223" s="4"/>
      <c r="KJX1223" s="18"/>
      <c r="KJY1223" s="3"/>
      <c r="KJZ1223" s="4"/>
      <c r="KKA1223" s="4"/>
      <c r="KKB1223" s="18"/>
      <c r="KKC1223" s="3"/>
      <c r="KKD1223" s="4"/>
      <c r="KKE1223" s="4"/>
      <c r="KKF1223" s="18"/>
      <c r="KKG1223" s="3"/>
      <c r="KKH1223" s="4"/>
      <c r="KKI1223" s="4"/>
      <c r="KKJ1223" s="18"/>
      <c r="KKK1223" s="3"/>
      <c r="KKL1223" s="4"/>
      <c r="KKM1223" s="4"/>
      <c r="KKN1223" s="18"/>
      <c r="KKO1223" s="3"/>
      <c r="KKP1223" s="4"/>
      <c r="KKQ1223" s="4"/>
      <c r="KKR1223" s="18"/>
      <c r="KKS1223" s="3"/>
      <c r="KKT1223" s="4"/>
      <c r="KKU1223" s="4"/>
      <c r="KKV1223" s="18"/>
      <c r="KKW1223" s="3"/>
      <c r="KKX1223" s="4"/>
      <c r="KKY1223" s="4"/>
      <c r="KKZ1223" s="18"/>
      <c r="KLA1223" s="3"/>
      <c r="KLB1223" s="4"/>
      <c r="KLC1223" s="4"/>
      <c r="KLD1223" s="18"/>
      <c r="KLE1223" s="3"/>
      <c r="KLF1223" s="4"/>
      <c r="KLG1223" s="4"/>
      <c r="KLH1223" s="18"/>
      <c r="KLI1223" s="3"/>
      <c r="KLJ1223" s="4"/>
      <c r="KLK1223" s="4"/>
      <c r="KLL1223" s="18"/>
      <c r="KLM1223" s="3"/>
      <c r="KLN1223" s="4"/>
      <c r="KLO1223" s="4"/>
      <c r="KLP1223" s="18"/>
      <c r="KLQ1223" s="3"/>
      <c r="KLR1223" s="4"/>
      <c r="KLS1223" s="4"/>
      <c r="KLT1223" s="18"/>
      <c r="KLU1223" s="3"/>
      <c r="KLV1223" s="4"/>
      <c r="KLW1223" s="4"/>
      <c r="KLX1223" s="18"/>
      <c r="KLY1223" s="3"/>
      <c r="KLZ1223" s="4"/>
      <c r="KMA1223" s="4"/>
      <c r="KMB1223" s="18"/>
      <c r="KMC1223" s="3"/>
      <c r="KMD1223" s="4"/>
      <c r="KME1223" s="4"/>
      <c r="KMF1223" s="18"/>
      <c r="KMG1223" s="3"/>
      <c r="KMH1223" s="4"/>
      <c r="KMI1223" s="4"/>
      <c r="KMJ1223" s="18"/>
      <c r="KMK1223" s="3"/>
      <c r="KML1223" s="4"/>
      <c r="KMM1223" s="4"/>
      <c r="KMN1223" s="18"/>
      <c r="KMO1223" s="3"/>
      <c r="KMP1223" s="4"/>
      <c r="KMQ1223" s="4"/>
      <c r="KMR1223" s="18"/>
      <c r="KMS1223" s="3"/>
      <c r="KMT1223" s="4"/>
      <c r="KMU1223" s="4"/>
      <c r="KMV1223" s="18"/>
      <c r="KMW1223" s="3"/>
      <c r="KMX1223" s="4"/>
      <c r="KMY1223" s="4"/>
      <c r="KMZ1223" s="18"/>
      <c r="KNA1223" s="3"/>
      <c r="KNB1223" s="4"/>
      <c r="KNC1223" s="4"/>
      <c r="KND1223" s="18"/>
      <c r="KNE1223" s="3"/>
      <c r="KNF1223" s="4"/>
      <c r="KNG1223" s="4"/>
      <c r="KNH1223" s="18"/>
      <c r="KNI1223" s="3"/>
      <c r="KNJ1223" s="4"/>
      <c r="KNK1223" s="4"/>
      <c r="KNL1223" s="18"/>
      <c r="KNM1223" s="3"/>
      <c r="KNN1223" s="4"/>
      <c r="KNO1223" s="4"/>
      <c r="KNP1223" s="18"/>
      <c r="KNQ1223" s="3"/>
      <c r="KNR1223" s="4"/>
      <c r="KNS1223" s="4"/>
      <c r="KNT1223" s="18"/>
      <c r="KNU1223" s="3"/>
      <c r="KNV1223" s="4"/>
      <c r="KNW1223" s="4"/>
      <c r="KNX1223" s="18"/>
      <c r="KNY1223" s="3"/>
      <c r="KNZ1223" s="4"/>
      <c r="KOA1223" s="4"/>
      <c r="KOB1223" s="18"/>
      <c r="KOC1223" s="3"/>
      <c r="KOD1223" s="4"/>
      <c r="KOE1223" s="4"/>
      <c r="KOF1223" s="18"/>
      <c r="KOG1223" s="3"/>
      <c r="KOH1223" s="4"/>
      <c r="KOI1223" s="4"/>
      <c r="KOJ1223" s="18"/>
      <c r="KOK1223" s="3"/>
      <c r="KOL1223" s="4"/>
      <c r="KOM1223" s="4"/>
      <c r="KON1223" s="18"/>
      <c r="KOO1223" s="3"/>
      <c r="KOP1223" s="4"/>
      <c r="KOQ1223" s="4"/>
      <c r="KOR1223" s="18"/>
      <c r="KOS1223" s="3"/>
      <c r="KOT1223" s="4"/>
      <c r="KOU1223" s="4"/>
      <c r="KOV1223" s="18"/>
      <c r="KOW1223" s="3"/>
      <c r="KOX1223" s="4"/>
      <c r="KOY1223" s="4"/>
      <c r="KOZ1223" s="18"/>
      <c r="KPA1223" s="3"/>
      <c r="KPB1223" s="4"/>
      <c r="KPC1223" s="4"/>
      <c r="KPD1223" s="18"/>
      <c r="KPE1223" s="3"/>
      <c r="KPF1223" s="4"/>
      <c r="KPG1223" s="4"/>
      <c r="KPH1223" s="18"/>
      <c r="KPI1223" s="3"/>
      <c r="KPJ1223" s="4"/>
      <c r="KPK1223" s="4"/>
      <c r="KPL1223" s="18"/>
      <c r="KPM1223" s="3"/>
      <c r="KPN1223" s="4"/>
      <c r="KPO1223" s="4"/>
      <c r="KPP1223" s="18"/>
      <c r="KPQ1223" s="3"/>
      <c r="KPR1223" s="4"/>
      <c r="KPS1223" s="4"/>
      <c r="KPT1223" s="18"/>
      <c r="KPU1223" s="3"/>
      <c r="KPV1223" s="4"/>
      <c r="KPW1223" s="4"/>
      <c r="KPX1223" s="18"/>
      <c r="KPY1223" s="3"/>
      <c r="KPZ1223" s="4"/>
      <c r="KQA1223" s="4"/>
      <c r="KQB1223" s="18"/>
      <c r="KQC1223" s="3"/>
      <c r="KQD1223" s="4"/>
      <c r="KQE1223" s="4"/>
      <c r="KQF1223" s="18"/>
      <c r="KQG1223" s="3"/>
      <c r="KQH1223" s="4"/>
      <c r="KQI1223" s="4"/>
      <c r="KQJ1223" s="18"/>
      <c r="KQK1223" s="3"/>
      <c r="KQL1223" s="4"/>
      <c r="KQM1223" s="4"/>
      <c r="KQN1223" s="18"/>
      <c r="KQO1223" s="3"/>
      <c r="KQP1223" s="4"/>
      <c r="KQQ1223" s="4"/>
      <c r="KQR1223" s="18"/>
      <c r="KQS1223" s="3"/>
      <c r="KQT1223" s="4"/>
      <c r="KQU1223" s="4"/>
      <c r="KQV1223" s="18"/>
      <c r="KQW1223" s="3"/>
      <c r="KQX1223" s="4"/>
      <c r="KQY1223" s="4"/>
      <c r="KQZ1223" s="18"/>
      <c r="KRA1223" s="3"/>
      <c r="KRB1223" s="4"/>
      <c r="KRC1223" s="4"/>
      <c r="KRD1223" s="18"/>
      <c r="KRE1223" s="3"/>
      <c r="KRF1223" s="4"/>
      <c r="KRG1223" s="4"/>
      <c r="KRH1223" s="18"/>
      <c r="KRI1223" s="3"/>
      <c r="KRJ1223" s="4"/>
      <c r="KRK1223" s="4"/>
      <c r="KRL1223" s="18"/>
      <c r="KRM1223" s="3"/>
      <c r="KRN1223" s="4"/>
      <c r="KRO1223" s="4"/>
      <c r="KRP1223" s="18"/>
      <c r="KRQ1223" s="3"/>
      <c r="KRR1223" s="4"/>
      <c r="KRS1223" s="4"/>
      <c r="KRT1223" s="18"/>
      <c r="KRU1223" s="3"/>
      <c r="KRV1223" s="4"/>
      <c r="KRW1223" s="4"/>
      <c r="KRX1223" s="18"/>
      <c r="KRY1223" s="3"/>
      <c r="KRZ1223" s="4"/>
      <c r="KSA1223" s="4"/>
      <c r="KSB1223" s="18"/>
      <c r="KSC1223" s="3"/>
      <c r="KSD1223" s="4"/>
      <c r="KSE1223" s="4"/>
      <c r="KSF1223" s="18"/>
      <c r="KSG1223" s="3"/>
      <c r="KSH1223" s="4"/>
      <c r="KSI1223" s="4"/>
      <c r="KSJ1223" s="18"/>
      <c r="KSK1223" s="3"/>
      <c r="KSL1223" s="4"/>
      <c r="KSM1223" s="4"/>
      <c r="KSN1223" s="18"/>
      <c r="KSO1223" s="3"/>
      <c r="KSP1223" s="4"/>
      <c r="KSQ1223" s="4"/>
      <c r="KSR1223" s="18"/>
      <c r="KSS1223" s="3"/>
      <c r="KST1223" s="4"/>
      <c r="KSU1223" s="4"/>
      <c r="KSV1223" s="18"/>
      <c r="KSW1223" s="3"/>
      <c r="KSX1223" s="4"/>
      <c r="KSY1223" s="4"/>
      <c r="KSZ1223" s="18"/>
      <c r="KTA1223" s="3"/>
      <c r="KTB1223" s="4"/>
      <c r="KTC1223" s="4"/>
      <c r="KTD1223" s="18"/>
      <c r="KTE1223" s="3"/>
      <c r="KTF1223" s="4"/>
      <c r="KTG1223" s="4"/>
      <c r="KTH1223" s="18"/>
      <c r="KTI1223" s="3"/>
      <c r="KTJ1223" s="4"/>
      <c r="KTK1223" s="4"/>
      <c r="KTL1223" s="18"/>
      <c r="KTM1223" s="3"/>
      <c r="KTN1223" s="4"/>
      <c r="KTO1223" s="4"/>
      <c r="KTP1223" s="18"/>
      <c r="KTQ1223" s="3"/>
      <c r="KTR1223" s="4"/>
      <c r="KTS1223" s="4"/>
      <c r="KTT1223" s="18"/>
      <c r="KTU1223" s="3"/>
      <c r="KTV1223" s="4"/>
      <c r="KTW1223" s="4"/>
      <c r="KTX1223" s="18"/>
      <c r="KTY1223" s="3"/>
      <c r="KTZ1223" s="4"/>
      <c r="KUA1223" s="4"/>
      <c r="KUB1223" s="18"/>
      <c r="KUC1223" s="3"/>
      <c r="KUD1223" s="4"/>
      <c r="KUE1223" s="4"/>
      <c r="KUF1223" s="18"/>
      <c r="KUG1223" s="3"/>
      <c r="KUH1223" s="4"/>
      <c r="KUI1223" s="4"/>
      <c r="KUJ1223" s="18"/>
      <c r="KUK1223" s="3"/>
      <c r="KUL1223" s="4"/>
      <c r="KUM1223" s="4"/>
      <c r="KUN1223" s="18"/>
      <c r="KUO1223" s="3"/>
      <c r="KUP1223" s="4"/>
      <c r="KUQ1223" s="4"/>
      <c r="KUR1223" s="18"/>
      <c r="KUS1223" s="3"/>
      <c r="KUT1223" s="4"/>
      <c r="KUU1223" s="4"/>
      <c r="KUV1223" s="18"/>
      <c r="KUW1223" s="3"/>
      <c r="KUX1223" s="4"/>
      <c r="KUY1223" s="4"/>
      <c r="KUZ1223" s="18"/>
      <c r="KVA1223" s="3"/>
      <c r="KVB1223" s="4"/>
      <c r="KVC1223" s="4"/>
      <c r="KVD1223" s="18"/>
      <c r="KVE1223" s="3"/>
      <c r="KVF1223" s="4"/>
      <c r="KVG1223" s="4"/>
      <c r="KVH1223" s="18"/>
      <c r="KVI1223" s="3"/>
      <c r="KVJ1223" s="4"/>
      <c r="KVK1223" s="4"/>
      <c r="KVL1223" s="18"/>
      <c r="KVM1223" s="3"/>
      <c r="KVN1223" s="4"/>
      <c r="KVO1223" s="4"/>
      <c r="KVP1223" s="18"/>
      <c r="KVQ1223" s="3"/>
      <c r="KVR1223" s="4"/>
      <c r="KVS1223" s="4"/>
      <c r="KVT1223" s="18"/>
      <c r="KVU1223" s="3"/>
      <c r="KVV1223" s="4"/>
      <c r="KVW1223" s="4"/>
      <c r="KVX1223" s="18"/>
      <c r="KVY1223" s="3"/>
      <c r="KVZ1223" s="4"/>
      <c r="KWA1223" s="4"/>
      <c r="KWB1223" s="18"/>
      <c r="KWC1223" s="3"/>
      <c r="KWD1223" s="4"/>
      <c r="KWE1223" s="4"/>
      <c r="KWF1223" s="18"/>
      <c r="KWG1223" s="3"/>
      <c r="KWH1223" s="4"/>
      <c r="KWI1223" s="4"/>
      <c r="KWJ1223" s="18"/>
      <c r="KWK1223" s="3"/>
      <c r="KWL1223" s="4"/>
      <c r="KWM1223" s="4"/>
      <c r="KWN1223" s="18"/>
      <c r="KWO1223" s="3"/>
      <c r="KWP1223" s="4"/>
      <c r="KWQ1223" s="4"/>
      <c r="KWR1223" s="18"/>
      <c r="KWS1223" s="3"/>
      <c r="KWT1223" s="4"/>
      <c r="KWU1223" s="4"/>
      <c r="KWV1223" s="18"/>
      <c r="KWW1223" s="3"/>
      <c r="KWX1223" s="4"/>
      <c r="KWY1223" s="4"/>
      <c r="KWZ1223" s="18"/>
      <c r="KXA1223" s="3"/>
      <c r="KXB1223" s="4"/>
      <c r="KXC1223" s="4"/>
      <c r="KXD1223" s="18"/>
      <c r="KXE1223" s="3"/>
      <c r="KXF1223" s="4"/>
      <c r="KXG1223" s="4"/>
      <c r="KXH1223" s="18"/>
      <c r="KXI1223" s="3"/>
      <c r="KXJ1223" s="4"/>
      <c r="KXK1223" s="4"/>
      <c r="KXL1223" s="18"/>
      <c r="KXM1223" s="3"/>
      <c r="KXN1223" s="4"/>
      <c r="KXO1223" s="4"/>
      <c r="KXP1223" s="18"/>
      <c r="KXQ1223" s="3"/>
      <c r="KXR1223" s="4"/>
      <c r="KXS1223" s="4"/>
      <c r="KXT1223" s="18"/>
      <c r="KXU1223" s="3"/>
      <c r="KXV1223" s="4"/>
      <c r="KXW1223" s="4"/>
      <c r="KXX1223" s="18"/>
      <c r="KXY1223" s="3"/>
      <c r="KXZ1223" s="4"/>
      <c r="KYA1223" s="4"/>
      <c r="KYB1223" s="18"/>
      <c r="KYC1223" s="3"/>
      <c r="KYD1223" s="4"/>
      <c r="KYE1223" s="4"/>
      <c r="KYF1223" s="18"/>
      <c r="KYG1223" s="3"/>
      <c r="KYH1223" s="4"/>
      <c r="KYI1223" s="4"/>
      <c r="KYJ1223" s="18"/>
      <c r="KYK1223" s="3"/>
      <c r="KYL1223" s="4"/>
      <c r="KYM1223" s="4"/>
      <c r="KYN1223" s="18"/>
      <c r="KYO1223" s="3"/>
      <c r="KYP1223" s="4"/>
      <c r="KYQ1223" s="4"/>
      <c r="KYR1223" s="18"/>
      <c r="KYS1223" s="3"/>
      <c r="KYT1223" s="4"/>
      <c r="KYU1223" s="4"/>
      <c r="KYV1223" s="18"/>
      <c r="KYW1223" s="3"/>
      <c r="KYX1223" s="4"/>
      <c r="KYY1223" s="4"/>
      <c r="KYZ1223" s="18"/>
      <c r="KZA1223" s="3"/>
      <c r="KZB1223" s="4"/>
      <c r="KZC1223" s="4"/>
      <c r="KZD1223" s="18"/>
      <c r="KZE1223" s="3"/>
      <c r="KZF1223" s="4"/>
      <c r="KZG1223" s="4"/>
      <c r="KZH1223" s="18"/>
      <c r="KZI1223" s="3"/>
      <c r="KZJ1223" s="4"/>
      <c r="KZK1223" s="4"/>
      <c r="KZL1223" s="18"/>
      <c r="KZM1223" s="3"/>
      <c r="KZN1223" s="4"/>
      <c r="KZO1223" s="4"/>
      <c r="KZP1223" s="18"/>
      <c r="KZQ1223" s="3"/>
      <c r="KZR1223" s="4"/>
      <c r="KZS1223" s="4"/>
      <c r="KZT1223" s="18"/>
      <c r="KZU1223" s="3"/>
      <c r="KZV1223" s="4"/>
      <c r="KZW1223" s="4"/>
      <c r="KZX1223" s="18"/>
      <c r="KZY1223" s="3"/>
      <c r="KZZ1223" s="4"/>
      <c r="LAA1223" s="4"/>
      <c r="LAB1223" s="18"/>
      <c r="LAC1223" s="3"/>
      <c r="LAD1223" s="4"/>
      <c r="LAE1223" s="4"/>
      <c r="LAF1223" s="18"/>
      <c r="LAG1223" s="3"/>
      <c r="LAH1223" s="4"/>
      <c r="LAI1223" s="4"/>
      <c r="LAJ1223" s="18"/>
      <c r="LAK1223" s="3"/>
      <c r="LAL1223" s="4"/>
      <c r="LAM1223" s="4"/>
      <c r="LAN1223" s="18"/>
      <c r="LAO1223" s="3"/>
      <c r="LAP1223" s="4"/>
      <c r="LAQ1223" s="4"/>
      <c r="LAR1223" s="18"/>
      <c r="LAS1223" s="3"/>
      <c r="LAT1223" s="4"/>
      <c r="LAU1223" s="4"/>
      <c r="LAV1223" s="18"/>
      <c r="LAW1223" s="3"/>
      <c r="LAX1223" s="4"/>
      <c r="LAY1223" s="4"/>
      <c r="LAZ1223" s="18"/>
      <c r="LBA1223" s="3"/>
      <c r="LBB1223" s="4"/>
      <c r="LBC1223" s="4"/>
      <c r="LBD1223" s="18"/>
      <c r="LBE1223" s="3"/>
      <c r="LBF1223" s="4"/>
      <c r="LBG1223" s="4"/>
      <c r="LBH1223" s="18"/>
      <c r="LBI1223" s="3"/>
      <c r="LBJ1223" s="4"/>
      <c r="LBK1223" s="4"/>
      <c r="LBL1223" s="18"/>
      <c r="LBM1223" s="3"/>
      <c r="LBN1223" s="4"/>
      <c r="LBO1223" s="4"/>
      <c r="LBP1223" s="18"/>
      <c r="LBQ1223" s="3"/>
      <c r="LBR1223" s="4"/>
      <c r="LBS1223" s="4"/>
      <c r="LBT1223" s="18"/>
      <c r="LBU1223" s="3"/>
      <c r="LBV1223" s="4"/>
      <c r="LBW1223" s="4"/>
      <c r="LBX1223" s="18"/>
      <c r="LBY1223" s="3"/>
      <c r="LBZ1223" s="4"/>
      <c r="LCA1223" s="4"/>
      <c r="LCB1223" s="18"/>
      <c r="LCC1223" s="3"/>
      <c r="LCD1223" s="4"/>
      <c r="LCE1223" s="4"/>
      <c r="LCF1223" s="18"/>
      <c r="LCG1223" s="3"/>
      <c r="LCH1223" s="4"/>
      <c r="LCI1223" s="4"/>
      <c r="LCJ1223" s="18"/>
      <c r="LCK1223" s="3"/>
      <c r="LCL1223" s="4"/>
      <c r="LCM1223" s="4"/>
      <c r="LCN1223" s="18"/>
      <c r="LCO1223" s="3"/>
      <c r="LCP1223" s="4"/>
      <c r="LCQ1223" s="4"/>
      <c r="LCR1223" s="18"/>
      <c r="LCS1223" s="3"/>
      <c r="LCT1223" s="4"/>
      <c r="LCU1223" s="4"/>
      <c r="LCV1223" s="18"/>
      <c r="LCW1223" s="3"/>
      <c r="LCX1223" s="4"/>
      <c r="LCY1223" s="4"/>
      <c r="LCZ1223" s="18"/>
      <c r="LDA1223" s="3"/>
      <c r="LDB1223" s="4"/>
      <c r="LDC1223" s="4"/>
      <c r="LDD1223" s="18"/>
      <c r="LDE1223" s="3"/>
      <c r="LDF1223" s="4"/>
      <c r="LDG1223" s="4"/>
      <c r="LDH1223" s="18"/>
      <c r="LDI1223" s="3"/>
      <c r="LDJ1223" s="4"/>
      <c r="LDK1223" s="4"/>
      <c r="LDL1223" s="18"/>
      <c r="LDM1223" s="3"/>
      <c r="LDN1223" s="4"/>
      <c r="LDO1223" s="4"/>
      <c r="LDP1223" s="18"/>
      <c r="LDQ1223" s="3"/>
      <c r="LDR1223" s="4"/>
      <c r="LDS1223" s="4"/>
      <c r="LDT1223" s="18"/>
      <c r="LDU1223" s="3"/>
      <c r="LDV1223" s="4"/>
      <c r="LDW1223" s="4"/>
      <c r="LDX1223" s="18"/>
      <c r="LDY1223" s="3"/>
      <c r="LDZ1223" s="4"/>
      <c r="LEA1223" s="4"/>
      <c r="LEB1223" s="18"/>
      <c r="LEC1223" s="3"/>
      <c r="LED1223" s="4"/>
      <c r="LEE1223" s="4"/>
      <c r="LEF1223" s="18"/>
      <c r="LEG1223" s="3"/>
      <c r="LEH1223" s="4"/>
      <c r="LEI1223" s="4"/>
      <c r="LEJ1223" s="18"/>
      <c r="LEK1223" s="3"/>
      <c r="LEL1223" s="4"/>
      <c r="LEM1223" s="4"/>
      <c r="LEN1223" s="18"/>
      <c r="LEO1223" s="3"/>
      <c r="LEP1223" s="4"/>
      <c r="LEQ1223" s="4"/>
      <c r="LER1223" s="18"/>
      <c r="LES1223" s="3"/>
      <c r="LET1223" s="4"/>
      <c r="LEU1223" s="4"/>
      <c r="LEV1223" s="18"/>
      <c r="LEW1223" s="3"/>
      <c r="LEX1223" s="4"/>
      <c r="LEY1223" s="4"/>
      <c r="LEZ1223" s="18"/>
      <c r="LFA1223" s="3"/>
      <c r="LFB1223" s="4"/>
      <c r="LFC1223" s="4"/>
      <c r="LFD1223" s="18"/>
      <c r="LFE1223" s="3"/>
      <c r="LFF1223" s="4"/>
      <c r="LFG1223" s="4"/>
      <c r="LFH1223" s="18"/>
      <c r="LFI1223" s="3"/>
      <c r="LFJ1223" s="4"/>
      <c r="LFK1223" s="4"/>
      <c r="LFL1223" s="18"/>
      <c r="LFM1223" s="3"/>
      <c r="LFN1223" s="4"/>
      <c r="LFO1223" s="4"/>
      <c r="LFP1223" s="18"/>
      <c r="LFQ1223" s="3"/>
      <c r="LFR1223" s="4"/>
      <c r="LFS1223" s="4"/>
      <c r="LFT1223" s="18"/>
      <c r="LFU1223" s="3"/>
      <c r="LFV1223" s="4"/>
      <c r="LFW1223" s="4"/>
      <c r="LFX1223" s="18"/>
      <c r="LFY1223" s="3"/>
      <c r="LFZ1223" s="4"/>
      <c r="LGA1223" s="4"/>
      <c r="LGB1223" s="18"/>
      <c r="LGC1223" s="3"/>
      <c r="LGD1223" s="4"/>
      <c r="LGE1223" s="4"/>
      <c r="LGF1223" s="18"/>
      <c r="LGG1223" s="3"/>
      <c r="LGH1223" s="4"/>
      <c r="LGI1223" s="4"/>
      <c r="LGJ1223" s="18"/>
      <c r="LGK1223" s="3"/>
      <c r="LGL1223" s="4"/>
      <c r="LGM1223" s="4"/>
      <c r="LGN1223" s="18"/>
      <c r="LGO1223" s="3"/>
      <c r="LGP1223" s="4"/>
      <c r="LGQ1223" s="4"/>
      <c r="LGR1223" s="18"/>
      <c r="LGS1223" s="3"/>
      <c r="LGT1223" s="4"/>
      <c r="LGU1223" s="4"/>
      <c r="LGV1223" s="18"/>
      <c r="LGW1223" s="3"/>
      <c r="LGX1223" s="4"/>
      <c r="LGY1223" s="4"/>
      <c r="LGZ1223" s="18"/>
      <c r="LHA1223" s="3"/>
      <c r="LHB1223" s="4"/>
      <c r="LHC1223" s="4"/>
      <c r="LHD1223" s="18"/>
      <c r="LHE1223" s="3"/>
      <c r="LHF1223" s="4"/>
      <c r="LHG1223" s="4"/>
      <c r="LHH1223" s="18"/>
      <c r="LHI1223" s="3"/>
      <c r="LHJ1223" s="4"/>
      <c r="LHK1223" s="4"/>
      <c r="LHL1223" s="18"/>
      <c r="LHM1223" s="3"/>
      <c r="LHN1223" s="4"/>
      <c r="LHO1223" s="4"/>
      <c r="LHP1223" s="18"/>
      <c r="LHQ1223" s="3"/>
      <c r="LHR1223" s="4"/>
      <c r="LHS1223" s="4"/>
      <c r="LHT1223" s="18"/>
      <c r="LHU1223" s="3"/>
      <c r="LHV1223" s="4"/>
      <c r="LHW1223" s="4"/>
      <c r="LHX1223" s="18"/>
      <c r="LHY1223" s="3"/>
      <c r="LHZ1223" s="4"/>
      <c r="LIA1223" s="4"/>
      <c r="LIB1223" s="18"/>
      <c r="LIC1223" s="3"/>
      <c r="LID1223" s="4"/>
      <c r="LIE1223" s="4"/>
      <c r="LIF1223" s="18"/>
      <c r="LIG1223" s="3"/>
      <c r="LIH1223" s="4"/>
      <c r="LII1223" s="4"/>
      <c r="LIJ1223" s="18"/>
      <c r="LIK1223" s="3"/>
      <c r="LIL1223" s="4"/>
      <c r="LIM1223" s="4"/>
      <c r="LIN1223" s="18"/>
      <c r="LIO1223" s="3"/>
      <c r="LIP1223" s="4"/>
      <c r="LIQ1223" s="4"/>
      <c r="LIR1223" s="18"/>
      <c r="LIS1223" s="3"/>
      <c r="LIT1223" s="4"/>
      <c r="LIU1223" s="4"/>
      <c r="LIV1223" s="18"/>
      <c r="LIW1223" s="3"/>
      <c r="LIX1223" s="4"/>
      <c r="LIY1223" s="4"/>
      <c r="LIZ1223" s="18"/>
      <c r="LJA1223" s="3"/>
      <c r="LJB1223" s="4"/>
      <c r="LJC1223" s="4"/>
      <c r="LJD1223" s="18"/>
      <c r="LJE1223" s="3"/>
      <c r="LJF1223" s="4"/>
      <c r="LJG1223" s="4"/>
      <c r="LJH1223" s="18"/>
      <c r="LJI1223" s="3"/>
      <c r="LJJ1223" s="4"/>
      <c r="LJK1223" s="4"/>
      <c r="LJL1223" s="18"/>
      <c r="LJM1223" s="3"/>
      <c r="LJN1223" s="4"/>
      <c r="LJO1223" s="4"/>
      <c r="LJP1223" s="18"/>
      <c r="LJQ1223" s="3"/>
      <c r="LJR1223" s="4"/>
      <c r="LJS1223" s="4"/>
      <c r="LJT1223" s="18"/>
      <c r="LJU1223" s="3"/>
      <c r="LJV1223" s="4"/>
      <c r="LJW1223" s="4"/>
      <c r="LJX1223" s="18"/>
      <c r="LJY1223" s="3"/>
      <c r="LJZ1223" s="4"/>
      <c r="LKA1223" s="4"/>
      <c r="LKB1223" s="18"/>
      <c r="LKC1223" s="3"/>
      <c r="LKD1223" s="4"/>
      <c r="LKE1223" s="4"/>
      <c r="LKF1223" s="18"/>
      <c r="LKG1223" s="3"/>
      <c r="LKH1223" s="4"/>
      <c r="LKI1223" s="4"/>
      <c r="LKJ1223" s="18"/>
      <c r="LKK1223" s="3"/>
      <c r="LKL1223" s="4"/>
      <c r="LKM1223" s="4"/>
      <c r="LKN1223" s="18"/>
      <c r="LKO1223" s="3"/>
      <c r="LKP1223" s="4"/>
      <c r="LKQ1223" s="4"/>
      <c r="LKR1223" s="18"/>
      <c r="LKS1223" s="3"/>
      <c r="LKT1223" s="4"/>
      <c r="LKU1223" s="4"/>
      <c r="LKV1223" s="18"/>
      <c r="LKW1223" s="3"/>
      <c r="LKX1223" s="4"/>
      <c r="LKY1223" s="4"/>
      <c r="LKZ1223" s="18"/>
      <c r="LLA1223" s="3"/>
      <c r="LLB1223" s="4"/>
      <c r="LLC1223" s="4"/>
      <c r="LLD1223" s="18"/>
      <c r="LLE1223" s="3"/>
      <c r="LLF1223" s="4"/>
      <c r="LLG1223" s="4"/>
      <c r="LLH1223" s="18"/>
      <c r="LLI1223" s="3"/>
      <c r="LLJ1223" s="4"/>
      <c r="LLK1223" s="4"/>
      <c r="LLL1223" s="18"/>
      <c r="LLM1223" s="3"/>
      <c r="LLN1223" s="4"/>
      <c r="LLO1223" s="4"/>
      <c r="LLP1223" s="18"/>
      <c r="LLQ1223" s="3"/>
      <c r="LLR1223" s="4"/>
      <c r="LLS1223" s="4"/>
      <c r="LLT1223" s="18"/>
      <c r="LLU1223" s="3"/>
      <c r="LLV1223" s="4"/>
      <c r="LLW1223" s="4"/>
      <c r="LLX1223" s="18"/>
      <c r="LLY1223" s="3"/>
      <c r="LLZ1223" s="4"/>
      <c r="LMA1223" s="4"/>
      <c r="LMB1223" s="18"/>
      <c r="LMC1223" s="3"/>
      <c r="LMD1223" s="4"/>
      <c r="LME1223" s="4"/>
      <c r="LMF1223" s="18"/>
      <c r="LMG1223" s="3"/>
      <c r="LMH1223" s="4"/>
      <c r="LMI1223" s="4"/>
      <c r="LMJ1223" s="18"/>
      <c r="LMK1223" s="3"/>
      <c r="LML1223" s="4"/>
      <c r="LMM1223" s="4"/>
      <c r="LMN1223" s="18"/>
      <c r="LMO1223" s="3"/>
      <c r="LMP1223" s="4"/>
      <c r="LMQ1223" s="4"/>
      <c r="LMR1223" s="18"/>
      <c r="LMS1223" s="3"/>
      <c r="LMT1223" s="4"/>
      <c r="LMU1223" s="4"/>
      <c r="LMV1223" s="18"/>
      <c r="LMW1223" s="3"/>
      <c r="LMX1223" s="4"/>
      <c r="LMY1223" s="4"/>
      <c r="LMZ1223" s="18"/>
      <c r="LNA1223" s="3"/>
      <c r="LNB1223" s="4"/>
      <c r="LNC1223" s="4"/>
      <c r="LND1223" s="18"/>
      <c r="LNE1223" s="3"/>
      <c r="LNF1223" s="4"/>
      <c r="LNG1223" s="4"/>
      <c r="LNH1223" s="18"/>
      <c r="LNI1223" s="3"/>
      <c r="LNJ1223" s="4"/>
      <c r="LNK1223" s="4"/>
      <c r="LNL1223" s="18"/>
      <c r="LNM1223" s="3"/>
      <c r="LNN1223" s="4"/>
      <c r="LNO1223" s="4"/>
      <c r="LNP1223" s="18"/>
      <c r="LNQ1223" s="3"/>
      <c r="LNR1223" s="4"/>
      <c r="LNS1223" s="4"/>
      <c r="LNT1223" s="18"/>
      <c r="LNU1223" s="3"/>
      <c r="LNV1223" s="4"/>
      <c r="LNW1223" s="4"/>
      <c r="LNX1223" s="18"/>
      <c r="LNY1223" s="3"/>
      <c r="LNZ1223" s="4"/>
      <c r="LOA1223" s="4"/>
      <c r="LOB1223" s="18"/>
      <c r="LOC1223" s="3"/>
      <c r="LOD1223" s="4"/>
      <c r="LOE1223" s="4"/>
      <c r="LOF1223" s="18"/>
      <c r="LOG1223" s="3"/>
      <c r="LOH1223" s="4"/>
      <c r="LOI1223" s="4"/>
      <c r="LOJ1223" s="18"/>
      <c r="LOK1223" s="3"/>
      <c r="LOL1223" s="4"/>
      <c r="LOM1223" s="4"/>
      <c r="LON1223" s="18"/>
      <c r="LOO1223" s="3"/>
      <c r="LOP1223" s="4"/>
      <c r="LOQ1223" s="4"/>
      <c r="LOR1223" s="18"/>
      <c r="LOS1223" s="3"/>
      <c r="LOT1223" s="4"/>
      <c r="LOU1223" s="4"/>
      <c r="LOV1223" s="18"/>
      <c r="LOW1223" s="3"/>
      <c r="LOX1223" s="4"/>
      <c r="LOY1223" s="4"/>
      <c r="LOZ1223" s="18"/>
      <c r="LPA1223" s="3"/>
      <c r="LPB1223" s="4"/>
      <c r="LPC1223" s="4"/>
      <c r="LPD1223" s="18"/>
      <c r="LPE1223" s="3"/>
      <c r="LPF1223" s="4"/>
      <c r="LPG1223" s="4"/>
      <c r="LPH1223" s="18"/>
      <c r="LPI1223" s="3"/>
      <c r="LPJ1223" s="4"/>
      <c r="LPK1223" s="4"/>
      <c r="LPL1223" s="18"/>
      <c r="LPM1223" s="3"/>
      <c r="LPN1223" s="4"/>
      <c r="LPO1223" s="4"/>
      <c r="LPP1223" s="18"/>
      <c r="LPQ1223" s="3"/>
      <c r="LPR1223" s="4"/>
      <c r="LPS1223" s="4"/>
      <c r="LPT1223" s="18"/>
      <c r="LPU1223" s="3"/>
      <c r="LPV1223" s="4"/>
      <c r="LPW1223" s="4"/>
      <c r="LPX1223" s="18"/>
      <c r="LPY1223" s="3"/>
      <c r="LPZ1223" s="4"/>
      <c r="LQA1223" s="4"/>
      <c r="LQB1223" s="18"/>
      <c r="LQC1223" s="3"/>
      <c r="LQD1223" s="4"/>
      <c r="LQE1223" s="4"/>
      <c r="LQF1223" s="18"/>
      <c r="LQG1223" s="3"/>
      <c r="LQH1223" s="4"/>
      <c r="LQI1223" s="4"/>
      <c r="LQJ1223" s="18"/>
      <c r="LQK1223" s="3"/>
      <c r="LQL1223" s="4"/>
      <c r="LQM1223" s="4"/>
      <c r="LQN1223" s="18"/>
      <c r="LQO1223" s="3"/>
      <c r="LQP1223" s="4"/>
      <c r="LQQ1223" s="4"/>
      <c r="LQR1223" s="18"/>
      <c r="LQS1223" s="3"/>
      <c r="LQT1223" s="4"/>
      <c r="LQU1223" s="4"/>
      <c r="LQV1223" s="18"/>
      <c r="LQW1223" s="3"/>
      <c r="LQX1223" s="4"/>
      <c r="LQY1223" s="4"/>
      <c r="LQZ1223" s="18"/>
      <c r="LRA1223" s="3"/>
      <c r="LRB1223" s="4"/>
      <c r="LRC1223" s="4"/>
      <c r="LRD1223" s="18"/>
      <c r="LRE1223" s="3"/>
      <c r="LRF1223" s="4"/>
      <c r="LRG1223" s="4"/>
      <c r="LRH1223" s="18"/>
      <c r="LRI1223" s="3"/>
      <c r="LRJ1223" s="4"/>
      <c r="LRK1223" s="4"/>
      <c r="LRL1223" s="18"/>
      <c r="LRM1223" s="3"/>
      <c r="LRN1223" s="4"/>
      <c r="LRO1223" s="4"/>
      <c r="LRP1223" s="18"/>
      <c r="LRQ1223" s="3"/>
      <c r="LRR1223" s="4"/>
      <c r="LRS1223" s="4"/>
      <c r="LRT1223" s="18"/>
      <c r="LRU1223" s="3"/>
      <c r="LRV1223" s="4"/>
      <c r="LRW1223" s="4"/>
      <c r="LRX1223" s="18"/>
      <c r="LRY1223" s="3"/>
      <c r="LRZ1223" s="4"/>
      <c r="LSA1223" s="4"/>
      <c r="LSB1223" s="18"/>
      <c r="LSC1223" s="3"/>
      <c r="LSD1223" s="4"/>
      <c r="LSE1223" s="4"/>
      <c r="LSF1223" s="18"/>
      <c r="LSG1223" s="3"/>
      <c r="LSH1223" s="4"/>
      <c r="LSI1223" s="4"/>
      <c r="LSJ1223" s="18"/>
      <c r="LSK1223" s="3"/>
      <c r="LSL1223" s="4"/>
      <c r="LSM1223" s="4"/>
      <c r="LSN1223" s="18"/>
      <c r="LSO1223" s="3"/>
      <c r="LSP1223" s="4"/>
      <c r="LSQ1223" s="4"/>
      <c r="LSR1223" s="18"/>
      <c r="LSS1223" s="3"/>
      <c r="LST1223" s="4"/>
      <c r="LSU1223" s="4"/>
      <c r="LSV1223" s="18"/>
      <c r="LSW1223" s="3"/>
      <c r="LSX1223" s="4"/>
      <c r="LSY1223" s="4"/>
      <c r="LSZ1223" s="18"/>
      <c r="LTA1223" s="3"/>
      <c r="LTB1223" s="4"/>
      <c r="LTC1223" s="4"/>
      <c r="LTD1223" s="18"/>
      <c r="LTE1223" s="3"/>
      <c r="LTF1223" s="4"/>
      <c r="LTG1223" s="4"/>
      <c r="LTH1223" s="18"/>
      <c r="LTI1223" s="3"/>
      <c r="LTJ1223" s="4"/>
      <c r="LTK1223" s="4"/>
      <c r="LTL1223" s="18"/>
      <c r="LTM1223" s="3"/>
      <c r="LTN1223" s="4"/>
      <c r="LTO1223" s="4"/>
      <c r="LTP1223" s="18"/>
      <c r="LTQ1223" s="3"/>
      <c r="LTR1223" s="4"/>
      <c r="LTS1223" s="4"/>
      <c r="LTT1223" s="18"/>
      <c r="LTU1223" s="3"/>
      <c r="LTV1223" s="4"/>
      <c r="LTW1223" s="4"/>
      <c r="LTX1223" s="18"/>
      <c r="LTY1223" s="3"/>
      <c r="LTZ1223" s="4"/>
      <c r="LUA1223" s="4"/>
      <c r="LUB1223" s="18"/>
      <c r="LUC1223" s="3"/>
      <c r="LUD1223" s="4"/>
      <c r="LUE1223" s="4"/>
      <c r="LUF1223" s="18"/>
      <c r="LUG1223" s="3"/>
      <c r="LUH1223" s="4"/>
      <c r="LUI1223" s="4"/>
      <c r="LUJ1223" s="18"/>
      <c r="LUK1223" s="3"/>
      <c r="LUL1223" s="4"/>
      <c r="LUM1223" s="4"/>
      <c r="LUN1223" s="18"/>
      <c r="LUO1223" s="3"/>
      <c r="LUP1223" s="4"/>
      <c r="LUQ1223" s="4"/>
      <c r="LUR1223" s="18"/>
      <c r="LUS1223" s="3"/>
      <c r="LUT1223" s="4"/>
      <c r="LUU1223" s="4"/>
      <c r="LUV1223" s="18"/>
      <c r="LUW1223" s="3"/>
      <c r="LUX1223" s="4"/>
      <c r="LUY1223" s="4"/>
      <c r="LUZ1223" s="18"/>
      <c r="LVA1223" s="3"/>
      <c r="LVB1223" s="4"/>
      <c r="LVC1223" s="4"/>
      <c r="LVD1223" s="18"/>
      <c r="LVE1223" s="3"/>
      <c r="LVF1223" s="4"/>
      <c r="LVG1223" s="4"/>
      <c r="LVH1223" s="18"/>
      <c r="LVI1223" s="3"/>
      <c r="LVJ1223" s="4"/>
      <c r="LVK1223" s="4"/>
      <c r="LVL1223" s="18"/>
      <c r="LVM1223" s="3"/>
      <c r="LVN1223" s="4"/>
      <c r="LVO1223" s="4"/>
      <c r="LVP1223" s="18"/>
      <c r="LVQ1223" s="3"/>
      <c r="LVR1223" s="4"/>
      <c r="LVS1223" s="4"/>
      <c r="LVT1223" s="18"/>
      <c r="LVU1223" s="3"/>
      <c r="LVV1223" s="4"/>
      <c r="LVW1223" s="4"/>
      <c r="LVX1223" s="18"/>
      <c r="LVY1223" s="3"/>
      <c r="LVZ1223" s="4"/>
      <c r="LWA1223" s="4"/>
      <c r="LWB1223" s="18"/>
      <c r="LWC1223" s="3"/>
      <c r="LWD1223" s="4"/>
      <c r="LWE1223" s="4"/>
      <c r="LWF1223" s="18"/>
      <c r="LWG1223" s="3"/>
      <c r="LWH1223" s="4"/>
      <c r="LWI1223" s="4"/>
      <c r="LWJ1223" s="18"/>
      <c r="LWK1223" s="3"/>
      <c r="LWL1223" s="4"/>
      <c r="LWM1223" s="4"/>
      <c r="LWN1223" s="18"/>
      <c r="LWO1223" s="3"/>
      <c r="LWP1223" s="4"/>
      <c r="LWQ1223" s="4"/>
      <c r="LWR1223" s="18"/>
      <c r="LWS1223" s="3"/>
      <c r="LWT1223" s="4"/>
      <c r="LWU1223" s="4"/>
      <c r="LWV1223" s="18"/>
      <c r="LWW1223" s="3"/>
      <c r="LWX1223" s="4"/>
      <c r="LWY1223" s="4"/>
      <c r="LWZ1223" s="18"/>
      <c r="LXA1223" s="3"/>
      <c r="LXB1223" s="4"/>
      <c r="LXC1223" s="4"/>
      <c r="LXD1223" s="18"/>
      <c r="LXE1223" s="3"/>
      <c r="LXF1223" s="4"/>
      <c r="LXG1223" s="4"/>
      <c r="LXH1223" s="18"/>
      <c r="LXI1223" s="3"/>
      <c r="LXJ1223" s="4"/>
      <c r="LXK1223" s="4"/>
      <c r="LXL1223" s="18"/>
      <c r="LXM1223" s="3"/>
      <c r="LXN1223" s="4"/>
      <c r="LXO1223" s="4"/>
      <c r="LXP1223" s="18"/>
      <c r="LXQ1223" s="3"/>
      <c r="LXR1223" s="4"/>
      <c r="LXS1223" s="4"/>
      <c r="LXT1223" s="18"/>
      <c r="LXU1223" s="3"/>
      <c r="LXV1223" s="4"/>
      <c r="LXW1223" s="4"/>
      <c r="LXX1223" s="18"/>
      <c r="LXY1223" s="3"/>
      <c r="LXZ1223" s="4"/>
      <c r="LYA1223" s="4"/>
      <c r="LYB1223" s="18"/>
      <c r="LYC1223" s="3"/>
      <c r="LYD1223" s="4"/>
      <c r="LYE1223" s="4"/>
      <c r="LYF1223" s="18"/>
      <c r="LYG1223" s="3"/>
      <c r="LYH1223" s="4"/>
      <c r="LYI1223" s="4"/>
      <c r="LYJ1223" s="18"/>
      <c r="LYK1223" s="3"/>
      <c r="LYL1223" s="4"/>
      <c r="LYM1223" s="4"/>
      <c r="LYN1223" s="18"/>
      <c r="LYO1223" s="3"/>
      <c r="LYP1223" s="4"/>
      <c r="LYQ1223" s="4"/>
      <c r="LYR1223" s="18"/>
      <c r="LYS1223" s="3"/>
      <c r="LYT1223" s="4"/>
      <c r="LYU1223" s="4"/>
      <c r="LYV1223" s="18"/>
      <c r="LYW1223" s="3"/>
      <c r="LYX1223" s="4"/>
      <c r="LYY1223" s="4"/>
      <c r="LYZ1223" s="18"/>
      <c r="LZA1223" s="3"/>
      <c r="LZB1223" s="4"/>
      <c r="LZC1223" s="4"/>
      <c r="LZD1223" s="18"/>
      <c r="LZE1223" s="3"/>
      <c r="LZF1223" s="4"/>
      <c r="LZG1223" s="4"/>
      <c r="LZH1223" s="18"/>
      <c r="LZI1223" s="3"/>
      <c r="LZJ1223" s="4"/>
      <c r="LZK1223" s="4"/>
      <c r="LZL1223" s="18"/>
      <c r="LZM1223" s="3"/>
      <c r="LZN1223" s="4"/>
      <c r="LZO1223" s="4"/>
      <c r="LZP1223" s="18"/>
      <c r="LZQ1223" s="3"/>
      <c r="LZR1223" s="4"/>
      <c r="LZS1223" s="4"/>
      <c r="LZT1223" s="18"/>
      <c r="LZU1223" s="3"/>
      <c r="LZV1223" s="4"/>
      <c r="LZW1223" s="4"/>
      <c r="LZX1223" s="18"/>
      <c r="LZY1223" s="3"/>
      <c r="LZZ1223" s="4"/>
      <c r="MAA1223" s="4"/>
      <c r="MAB1223" s="18"/>
      <c r="MAC1223" s="3"/>
      <c r="MAD1223" s="4"/>
      <c r="MAE1223" s="4"/>
      <c r="MAF1223" s="18"/>
      <c r="MAG1223" s="3"/>
      <c r="MAH1223" s="4"/>
      <c r="MAI1223" s="4"/>
      <c r="MAJ1223" s="18"/>
      <c r="MAK1223" s="3"/>
      <c r="MAL1223" s="4"/>
      <c r="MAM1223" s="4"/>
      <c r="MAN1223" s="18"/>
      <c r="MAO1223" s="3"/>
      <c r="MAP1223" s="4"/>
      <c r="MAQ1223" s="4"/>
      <c r="MAR1223" s="18"/>
      <c r="MAS1223" s="3"/>
      <c r="MAT1223" s="4"/>
      <c r="MAU1223" s="4"/>
      <c r="MAV1223" s="18"/>
      <c r="MAW1223" s="3"/>
      <c r="MAX1223" s="4"/>
      <c r="MAY1223" s="4"/>
      <c r="MAZ1223" s="18"/>
      <c r="MBA1223" s="3"/>
      <c r="MBB1223" s="4"/>
      <c r="MBC1223" s="4"/>
      <c r="MBD1223" s="18"/>
      <c r="MBE1223" s="3"/>
      <c r="MBF1223" s="4"/>
      <c r="MBG1223" s="4"/>
      <c r="MBH1223" s="18"/>
      <c r="MBI1223" s="3"/>
      <c r="MBJ1223" s="4"/>
      <c r="MBK1223" s="4"/>
      <c r="MBL1223" s="18"/>
      <c r="MBM1223" s="3"/>
      <c r="MBN1223" s="4"/>
      <c r="MBO1223" s="4"/>
      <c r="MBP1223" s="18"/>
      <c r="MBQ1223" s="3"/>
      <c r="MBR1223" s="4"/>
      <c r="MBS1223" s="4"/>
      <c r="MBT1223" s="18"/>
      <c r="MBU1223" s="3"/>
      <c r="MBV1223" s="4"/>
      <c r="MBW1223" s="4"/>
      <c r="MBX1223" s="18"/>
      <c r="MBY1223" s="3"/>
      <c r="MBZ1223" s="4"/>
      <c r="MCA1223" s="4"/>
      <c r="MCB1223" s="18"/>
      <c r="MCC1223" s="3"/>
      <c r="MCD1223" s="4"/>
      <c r="MCE1223" s="4"/>
      <c r="MCF1223" s="18"/>
      <c r="MCG1223" s="3"/>
      <c r="MCH1223" s="4"/>
      <c r="MCI1223" s="4"/>
      <c r="MCJ1223" s="18"/>
      <c r="MCK1223" s="3"/>
      <c r="MCL1223" s="4"/>
      <c r="MCM1223" s="4"/>
      <c r="MCN1223" s="18"/>
      <c r="MCO1223" s="3"/>
      <c r="MCP1223" s="4"/>
      <c r="MCQ1223" s="4"/>
      <c r="MCR1223" s="18"/>
      <c r="MCS1223" s="3"/>
      <c r="MCT1223" s="4"/>
      <c r="MCU1223" s="4"/>
      <c r="MCV1223" s="18"/>
      <c r="MCW1223" s="3"/>
      <c r="MCX1223" s="4"/>
      <c r="MCY1223" s="4"/>
      <c r="MCZ1223" s="18"/>
      <c r="MDA1223" s="3"/>
      <c r="MDB1223" s="4"/>
      <c r="MDC1223" s="4"/>
      <c r="MDD1223" s="18"/>
      <c r="MDE1223" s="3"/>
      <c r="MDF1223" s="4"/>
      <c r="MDG1223" s="4"/>
      <c r="MDH1223" s="18"/>
      <c r="MDI1223" s="3"/>
      <c r="MDJ1223" s="4"/>
      <c r="MDK1223" s="4"/>
      <c r="MDL1223" s="18"/>
      <c r="MDM1223" s="3"/>
      <c r="MDN1223" s="4"/>
      <c r="MDO1223" s="4"/>
      <c r="MDP1223" s="18"/>
      <c r="MDQ1223" s="3"/>
      <c r="MDR1223" s="4"/>
      <c r="MDS1223" s="4"/>
      <c r="MDT1223" s="18"/>
      <c r="MDU1223" s="3"/>
      <c r="MDV1223" s="4"/>
      <c r="MDW1223" s="4"/>
      <c r="MDX1223" s="18"/>
      <c r="MDY1223" s="3"/>
      <c r="MDZ1223" s="4"/>
      <c r="MEA1223" s="4"/>
      <c r="MEB1223" s="18"/>
      <c r="MEC1223" s="3"/>
      <c r="MED1223" s="4"/>
      <c r="MEE1223" s="4"/>
      <c r="MEF1223" s="18"/>
      <c r="MEG1223" s="3"/>
      <c r="MEH1223" s="4"/>
      <c r="MEI1223" s="4"/>
      <c r="MEJ1223" s="18"/>
      <c r="MEK1223" s="3"/>
      <c r="MEL1223" s="4"/>
      <c r="MEM1223" s="4"/>
      <c r="MEN1223" s="18"/>
      <c r="MEO1223" s="3"/>
      <c r="MEP1223" s="4"/>
      <c r="MEQ1223" s="4"/>
      <c r="MER1223" s="18"/>
      <c r="MES1223" s="3"/>
      <c r="MET1223" s="4"/>
      <c r="MEU1223" s="4"/>
      <c r="MEV1223" s="18"/>
      <c r="MEW1223" s="3"/>
      <c r="MEX1223" s="4"/>
      <c r="MEY1223" s="4"/>
      <c r="MEZ1223" s="18"/>
      <c r="MFA1223" s="3"/>
      <c r="MFB1223" s="4"/>
      <c r="MFC1223" s="4"/>
      <c r="MFD1223" s="18"/>
      <c r="MFE1223" s="3"/>
      <c r="MFF1223" s="4"/>
      <c r="MFG1223" s="4"/>
      <c r="MFH1223" s="18"/>
      <c r="MFI1223" s="3"/>
      <c r="MFJ1223" s="4"/>
      <c r="MFK1223" s="4"/>
      <c r="MFL1223" s="18"/>
      <c r="MFM1223" s="3"/>
      <c r="MFN1223" s="4"/>
      <c r="MFO1223" s="4"/>
      <c r="MFP1223" s="18"/>
      <c r="MFQ1223" s="3"/>
      <c r="MFR1223" s="4"/>
      <c r="MFS1223" s="4"/>
      <c r="MFT1223" s="18"/>
      <c r="MFU1223" s="3"/>
      <c r="MFV1223" s="4"/>
      <c r="MFW1223" s="4"/>
      <c r="MFX1223" s="18"/>
      <c r="MFY1223" s="3"/>
      <c r="MFZ1223" s="4"/>
      <c r="MGA1223" s="4"/>
      <c r="MGB1223" s="18"/>
      <c r="MGC1223" s="3"/>
      <c r="MGD1223" s="4"/>
      <c r="MGE1223" s="4"/>
      <c r="MGF1223" s="18"/>
      <c r="MGG1223" s="3"/>
      <c r="MGH1223" s="4"/>
      <c r="MGI1223" s="4"/>
      <c r="MGJ1223" s="18"/>
      <c r="MGK1223" s="3"/>
      <c r="MGL1223" s="4"/>
      <c r="MGM1223" s="4"/>
      <c r="MGN1223" s="18"/>
      <c r="MGO1223" s="3"/>
      <c r="MGP1223" s="4"/>
      <c r="MGQ1223" s="4"/>
      <c r="MGR1223" s="18"/>
      <c r="MGS1223" s="3"/>
      <c r="MGT1223" s="4"/>
      <c r="MGU1223" s="4"/>
      <c r="MGV1223" s="18"/>
      <c r="MGW1223" s="3"/>
      <c r="MGX1223" s="4"/>
      <c r="MGY1223" s="4"/>
      <c r="MGZ1223" s="18"/>
      <c r="MHA1223" s="3"/>
      <c r="MHB1223" s="4"/>
      <c r="MHC1223" s="4"/>
      <c r="MHD1223" s="18"/>
      <c r="MHE1223" s="3"/>
      <c r="MHF1223" s="4"/>
      <c r="MHG1223" s="4"/>
      <c r="MHH1223" s="18"/>
      <c r="MHI1223" s="3"/>
      <c r="MHJ1223" s="4"/>
      <c r="MHK1223" s="4"/>
      <c r="MHL1223" s="18"/>
      <c r="MHM1223" s="3"/>
      <c r="MHN1223" s="4"/>
      <c r="MHO1223" s="4"/>
      <c r="MHP1223" s="18"/>
      <c r="MHQ1223" s="3"/>
      <c r="MHR1223" s="4"/>
      <c r="MHS1223" s="4"/>
      <c r="MHT1223" s="18"/>
      <c r="MHU1223" s="3"/>
      <c r="MHV1223" s="4"/>
      <c r="MHW1223" s="4"/>
      <c r="MHX1223" s="18"/>
      <c r="MHY1223" s="3"/>
      <c r="MHZ1223" s="4"/>
      <c r="MIA1223" s="4"/>
      <c r="MIB1223" s="18"/>
      <c r="MIC1223" s="3"/>
      <c r="MID1223" s="4"/>
      <c r="MIE1223" s="4"/>
      <c r="MIF1223" s="18"/>
      <c r="MIG1223" s="3"/>
      <c r="MIH1223" s="4"/>
      <c r="MII1223" s="4"/>
      <c r="MIJ1223" s="18"/>
      <c r="MIK1223" s="3"/>
      <c r="MIL1223" s="4"/>
      <c r="MIM1223" s="4"/>
      <c r="MIN1223" s="18"/>
      <c r="MIO1223" s="3"/>
      <c r="MIP1223" s="4"/>
      <c r="MIQ1223" s="4"/>
      <c r="MIR1223" s="18"/>
      <c r="MIS1223" s="3"/>
      <c r="MIT1223" s="4"/>
      <c r="MIU1223" s="4"/>
      <c r="MIV1223" s="18"/>
      <c r="MIW1223" s="3"/>
      <c r="MIX1223" s="4"/>
      <c r="MIY1223" s="4"/>
      <c r="MIZ1223" s="18"/>
      <c r="MJA1223" s="3"/>
      <c r="MJB1223" s="4"/>
      <c r="MJC1223" s="4"/>
      <c r="MJD1223" s="18"/>
      <c r="MJE1223" s="3"/>
      <c r="MJF1223" s="4"/>
      <c r="MJG1223" s="4"/>
      <c r="MJH1223" s="18"/>
      <c r="MJI1223" s="3"/>
      <c r="MJJ1223" s="4"/>
      <c r="MJK1223" s="4"/>
      <c r="MJL1223" s="18"/>
      <c r="MJM1223" s="3"/>
      <c r="MJN1223" s="4"/>
      <c r="MJO1223" s="4"/>
      <c r="MJP1223" s="18"/>
      <c r="MJQ1223" s="3"/>
      <c r="MJR1223" s="4"/>
      <c r="MJS1223" s="4"/>
      <c r="MJT1223" s="18"/>
      <c r="MJU1223" s="3"/>
      <c r="MJV1223" s="4"/>
      <c r="MJW1223" s="4"/>
      <c r="MJX1223" s="18"/>
      <c r="MJY1223" s="3"/>
      <c r="MJZ1223" s="4"/>
      <c r="MKA1223" s="4"/>
      <c r="MKB1223" s="18"/>
      <c r="MKC1223" s="3"/>
      <c r="MKD1223" s="4"/>
      <c r="MKE1223" s="4"/>
      <c r="MKF1223" s="18"/>
      <c r="MKG1223" s="3"/>
      <c r="MKH1223" s="4"/>
      <c r="MKI1223" s="4"/>
      <c r="MKJ1223" s="18"/>
      <c r="MKK1223" s="3"/>
      <c r="MKL1223" s="4"/>
      <c r="MKM1223" s="4"/>
      <c r="MKN1223" s="18"/>
      <c r="MKO1223" s="3"/>
      <c r="MKP1223" s="4"/>
      <c r="MKQ1223" s="4"/>
      <c r="MKR1223" s="18"/>
      <c r="MKS1223" s="3"/>
      <c r="MKT1223" s="4"/>
      <c r="MKU1223" s="4"/>
      <c r="MKV1223" s="18"/>
      <c r="MKW1223" s="3"/>
      <c r="MKX1223" s="4"/>
      <c r="MKY1223" s="4"/>
      <c r="MKZ1223" s="18"/>
      <c r="MLA1223" s="3"/>
      <c r="MLB1223" s="4"/>
      <c r="MLC1223" s="4"/>
      <c r="MLD1223" s="18"/>
      <c r="MLE1223" s="3"/>
      <c r="MLF1223" s="4"/>
      <c r="MLG1223" s="4"/>
      <c r="MLH1223" s="18"/>
      <c r="MLI1223" s="3"/>
      <c r="MLJ1223" s="4"/>
      <c r="MLK1223" s="4"/>
      <c r="MLL1223" s="18"/>
      <c r="MLM1223" s="3"/>
      <c r="MLN1223" s="4"/>
      <c r="MLO1223" s="4"/>
      <c r="MLP1223" s="18"/>
      <c r="MLQ1223" s="3"/>
      <c r="MLR1223" s="4"/>
      <c r="MLS1223" s="4"/>
      <c r="MLT1223" s="18"/>
      <c r="MLU1223" s="3"/>
      <c r="MLV1223" s="4"/>
      <c r="MLW1223" s="4"/>
      <c r="MLX1223" s="18"/>
      <c r="MLY1223" s="3"/>
      <c r="MLZ1223" s="4"/>
      <c r="MMA1223" s="4"/>
      <c r="MMB1223" s="18"/>
      <c r="MMC1223" s="3"/>
      <c r="MMD1223" s="4"/>
      <c r="MME1223" s="4"/>
      <c r="MMF1223" s="18"/>
      <c r="MMG1223" s="3"/>
      <c r="MMH1223" s="4"/>
      <c r="MMI1223" s="4"/>
      <c r="MMJ1223" s="18"/>
      <c r="MMK1223" s="3"/>
      <c r="MML1223" s="4"/>
      <c r="MMM1223" s="4"/>
      <c r="MMN1223" s="18"/>
      <c r="MMO1223" s="3"/>
      <c r="MMP1223" s="4"/>
      <c r="MMQ1223" s="4"/>
      <c r="MMR1223" s="18"/>
      <c r="MMS1223" s="3"/>
      <c r="MMT1223" s="4"/>
      <c r="MMU1223" s="4"/>
      <c r="MMV1223" s="18"/>
      <c r="MMW1223" s="3"/>
      <c r="MMX1223" s="4"/>
      <c r="MMY1223" s="4"/>
      <c r="MMZ1223" s="18"/>
      <c r="MNA1223" s="3"/>
      <c r="MNB1223" s="4"/>
      <c r="MNC1223" s="4"/>
      <c r="MND1223" s="18"/>
      <c r="MNE1223" s="3"/>
      <c r="MNF1223" s="4"/>
      <c r="MNG1223" s="4"/>
      <c r="MNH1223" s="18"/>
      <c r="MNI1223" s="3"/>
      <c r="MNJ1223" s="4"/>
      <c r="MNK1223" s="4"/>
      <c r="MNL1223" s="18"/>
      <c r="MNM1223" s="3"/>
      <c r="MNN1223" s="4"/>
      <c r="MNO1223" s="4"/>
      <c r="MNP1223" s="18"/>
      <c r="MNQ1223" s="3"/>
      <c r="MNR1223" s="4"/>
      <c r="MNS1223" s="4"/>
      <c r="MNT1223" s="18"/>
      <c r="MNU1223" s="3"/>
      <c r="MNV1223" s="4"/>
      <c r="MNW1223" s="4"/>
      <c r="MNX1223" s="18"/>
      <c r="MNY1223" s="3"/>
      <c r="MNZ1223" s="4"/>
      <c r="MOA1223" s="4"/>
      <c r="MOB1223" s="18"/>
      <c r="MOC1223" s="3"/>
      <c r="MOD1223" s="4"/>
      <c r="MOE1223" s="4"/>
      <c r="MOF1223" s="18"/>
      <c r="MOG1223" s="3"/>
      <c r="MOH1223" s="4"/>
      <c r="MOI1223" s="4"/>
      <c r="MOJ1223" s="18"/>
      <c r="MOK1223" s="3"/>
      <c r="MOL1223" s="4"/>
      <c r="MOM1223" s="4"/>
      <c r="MON1223" s="18"/>
      <c r="MOO1223" s="3"/>
      <c r="MOP1223" s="4"/>
      <c r="MOQ1223" s="4"/>
      <c r="MOR1223" s="18"/>
      <c r="MOS1223" s="3"/>
      <c r="MOT1223" s="4"/>
      <c r="MOU1223" s="4"/>
      <c r="MOV1223" s="18"/>
      <c r="MOW1223" s="3"/>
      <c r="MOX1223" s="4"/>
      <c r="MOY1223" s="4"/>
      <c r="MOZ1223" s="18"/>
      <c r="MPA1223" s="3"/>
      <c r="MPB1223" s="4"/>
      <c r="MPC1223" s="4"/>
      <c r="MPD1223" s="18"/>
      <c r="MPE1223" s="3"/>
      <c r="MPF1223" s="4"/>
      <c r="MPG1223" s="4"/>
      <c r="MPH1223" s="18"/>
      <c r="MPI1223" s="3"/>
      <c r="MPJ1223" s="4"/>
      <c r="MPK1223" s="4"/>
      <c r="MPL1223" s="18"/>
      <c r="MPM1223" s="3"/>
      <c r="MPN1223" s="4"/>
      <c r="MPO1223" s="4"/>
      <c r="MPP1223" s="18"/>
      <c r="MPQ1223" s="3"/>
      <c r="MPR1223" s="4"/>
      <c r="MPS1223" s="4"/>
      <c r="MPT1223" s="18"/>
      <c r="MPU1223" s="3"/>
      <c r="MPV1223" s="4"/>
      <c r="MPW1223" s="4"/>
      <c r="MPX1223" s="18"/>
      <c r="MPY1223" s="3"/>
      <c r="MPZ1223" s="4"/>
      <c r="MQA1223" s="4"/>
      <c r="MQB1223" s="18"/>
      <c r="MQC1223" s="3"/>
      <c r="MQD1223" s="4"/>
      <c r="MQE1223" s="4"/>
      <c r="MQF1223" s="18"/>
      <c r="MQG1223" s="3"/>
      <c r="MQH1223" s="4"/>
      <c r="MQI1223" s="4"/>
      <c r="MQJ1223" s="18"/>
      <c r="MQK1223" s="3"/>
      <c r="MQL1223" s="4"/>
      <c r="MQM1223" s="4"/>
      <c r="MQN1223" s="18"/>
      <c r="MQO1223" s="3"/>
      <c r="MQP1223" s="4"/>
      <c r="MQQ1223" s="4"/>
      <c r="MQR1223" s="18"/>
      <c r="MQS1223" s="3"/>
      <c r="MQT1223" s="4"/>
      <c r="MQU1223" s="4"/>
      <c r="MQV1223" s="18"/>
      <c r="MQW1223" s="3"/>
      <c r="MQX1223" s="4"/>
      <c r="MQY1223" s="4"/>
      <c r="MQZ1223" s="18"/>
      <c r="MRA1223" s="3"/>
      <c r="MRB1223" s="4"/>
      <c r="MRC1223" s="4"/>
      <c r="MRD1223" s="18"/>
      <c r="MRE1223" s="3"/>
      <c r="MRF1223" s="4"/>
      <c r="MRG1223" s="4"/>
      <c r="MRH1223" s="18"/>
      <c r="MRI1223" s="3"/>
      <c r="MRJ1223" s="4"/>
      <c r="MRK1223" s="4"/>
      <c r="MRL1223" s="18"/>
      <c r="MRM1223" s="3"/>
      <c r="MRN1223" s="4"/>
      <c r="MRO1223" s="4"/>
      <c r="MRP1223" s="18"/>
      <c r="MRQ1223" s="3"/>
      <c r="MRR1223" s="4"/>
      <c r="MRS1223" s="4"/>
      <c r="MRT1223" s="18"/>
      <c r="MRU1223" s="3"/>
      <c r="MRV1223" s="4"/>
      <c r="MRW1223" s="4"/>
      <c r="MRX1223" s="18"/>
      <c r="MRY1223" s="3"/>
      <c r="MRZ1223" s="4"/>
      <c r="MSA1223" s="4"/>
      <c r="MSB1223" s="18"/>
      <c r="MSC1223" s="3"/>
      <c r="MSD1223" s="4"/>
      <c r="MSE1223" s="4"/>
      <c r="MSF1223" s="18"/>
      <c r="MSG1223" s="3"/>
      <c r="MSH1223" s="4"/>
      <c r="MSI1223" s="4"/>
      <c r="MSJ1223" s="18"/>
      <c r="MSK1223" s="3"/>
      <c r="MSL1223" s="4"/>
      <c r="MSM1223" s="4"/>
      <c r="MSN1223" s="18"/>
      <c r="MSO1223" s="3"/>
      <c r="MSP1223" s="4"/>
      <c r="MSQ1223" s="4"/>
      <c r="MSR1223" s="18"/>
      <c r="MSS1223" s="3"/>
      <c r="MST1223" s="4"/>
      <c r="MSU1223" s="4"/>
      <c r="MSV1223" s="18"/>
      <c r="MSW1223" s="3"/>
      <c r="MSX1223" s="4"/>
      <c r="MSY1223" s="4"/>
      <c r="MSZ1223" s="18"/>
      <c r="MTA1223" s="3"/>
      <c r="MTB1223" s="4"/>
      <c r="MTC1223" s="4"/>
      <c r="MTD1223" s="18"/>
      <c r="MTE1223" s="3"/>
      <c r="MTF1223" s="4"/>
      <c r="MTG1223" s="4"/>
      <c r="MTH1223" s="18"/>
      <c r="MTI1223" s="3"/>
      <c r="MTJ1223" s="4"/>
      <c r="MTK1223" s="4"/>
      <c r="MTL1223" s="18"/>
      <c r="MTM1223" s="3"/>
      <c r="MTN1223" s="4"/>
      <c r="MTO1223" s="4"/>
      <c r="MTP1223" s="18"/>
      <c r="MTQ1223" s="3"/>
      <c r="MTR1223" s="4"/>
      <c r="MTS1223" s="4"/>
      <c r="MTT1223" s="18"/>
      <c r="MTU1223" s="3"/>
      <c r="MTV1223" s="4"/>
      <c r="MTW1223" s="4"/>
      <c r="MTX1223" s="18"/>
      <c r="MTY1223" s="3"/>
      <c r="MTZ1223" s="4"/>
      <c r="MUA1223" s="4"/>
      <c r="MUB1223" s="18"/>
      <c r="MUC1223" s="3"/>
      <c r="MUD1223" s="4"/>
      <c r="MUE1223" s="4"/>
      <c r="MUF1223" s="18"/>
      <c r="MUG1223" s="3"/>
      <c r="MUH1223" s="4"/>
      <c r="MUI1223" s="4"/>
      <c r="MUJ1223" s="18"/>
      <c r="MUK1223" s="3"/>
      <c r="MUL1223" s="4"/>
      <c r="MUM1223" s="4"/>
      <c r="MUN1223" s="18"/>
      <c r="MUO1223" s="3"/>
      <c r="MUP1223" s="4"/>
      <c r="MUQ1223" s="4"/>
      <c r="MUR1223" s="18"/>
      <c r="MUS1223" s="3"/>
      <c r="MUT1223" s="4"/>
      <c r="MUU1223" s="4"/>
      <c r="MUV1223" s="18"/>
      <c r="MUW1223" s="3"/>
      <c r="MUX1223" s="4"/>
      <c r="MUY1223" s="4"/>
      <c r="MUZ1223" s="18"/>
      <c r="MVA1223" s="3"/>
      <c r="MVB1223" s="4"/>
      <c r="MVC1223" s="4"/>
      <c r="MVD1223" s="18"/>
      <c r="MVE1223" s="3"/>
      <c r="MVF1223" s="4"/>
      <c r="MVG1223" s="4"/>
      <c r="MVH1223" s="18"/>
      <c r="MVI1223" s="3"/>
      <c r="MVJ1223" s="4"/>
      <c r="MVK1223" s="4"/>
      <c r="MVL1223" s="18"/>
      <c r="MVM1223" s="3"/>
      <c r="MVN1223" s="4"/>
      <c r="MVO1223" s="4"/>
      <c r="MVP1223" s="18"/>
      <c r="MVQ1223" s="3"/>
      <c r="MVR1223" s="4"/>
      <c r="MVS1223" s="4"/>
      <c r="MVT1223" s="18"/>
      <c r="MVU1223" s="3"/>
      <c r="MVV1223" s="4"/>
      <c r="MVW1223" s="4"/>
      <c r="MVX1223" s="18"/>
      <c r="MVY1223" s="3"/>
      <c r="MVZ1223" s="4"/>
      <c r="MWA1223" s="4"/>
      <c r="MWB1223" s="18"/>
      <c r="MWC1223" s="3"/>
      <c r="MWD1223" s="4"/>
      <c r="MWE1223" s="4"/>
      <c r="MWF1223" s="18"/>
      <c r="MWG1223" s="3"/>
      <c r="MWH1223" s="4"/>
      <c r="MWI1223" s="4"/>
      <c r="MWJ1223" s="18"/>
      <c r="MWK1223" s="3"/>
      <c r="MWL1223" s="4"/>
      <c r="MWM1223" s="4"/>
      <c r="MWN1223" s="18"/>
      <c r="MWO1223" s="3"/>
      <c r="MWP1223" s="4"/>
      <c r="MWQ1223" s="4"/>
      <c r="MWR1223" s="18"/>
      <c r="MWS1223" s="3"/>
      <c r="MWT1223" s="4"/>
      <c r="MWU1223" s="4"/>
      <c r="MWV1223" s="18"/>
      <c r="MWW1223" s="3"/>
      <c r="MWX1223" s="4"/>
      <c r="MWY1223" s="4"/>
      <c r="MWZ1223" s="18"/>
      <c r="MXA1223" s="3"/>
      <c r="MXB1223" s="4"/>
      <c r="MXC1223" s="4"/>
      <c r="MXD1223" s="18"/>
      <c r="MXE1223" s="3"/>
      <c r="MXF1223" s="4"/>
      <c r="MXG1223" s="4"/>
      <c r="MXH1223" s="18"/>
      <c r="MXI1223" s="3"/>
      <c r="MXJ1223" s="4"/>
      <c r="MXK1223" s="4"/>
      <c r="MXL1223" s="18"/>
      <c r="MXM1223" s="3"/>
      <c r="MXN1223" s="4"/>
      <c r="MXO1223" s="4"/>
      <c r="MXP1223" s="18"/>
      <c r="MXQ1223" s="3"/>
      <c r="MXR1223" s="4"/>
      <c r="MXS1223" s="4"/>
      <c r="MXT1223" s="18"/>
      <c r="MXU1223" s="3"/>
      <c r="MXV1223" s="4"/>
      <c r="MXW1223" s="4"/>
      <c r="MXX1223" s="18"/>
      <c r="MXY1223" s="3"/>
      <c r="MXZ1223" s="4"/>
      <c r="MYA1223" s="4"/>
      <c r="MYB1223" s="18"/>
      <c r="MYC1223" s="3"/>
      <c r="MYD1223" s="4"/>
      <c r="MYE1223" s="4"/>
      <c r="MYF1223" s="18"/>
      <c r="MYG1223" s="3"/>
      <c r="MYH1223" s="4"/>
      <c r="MYI1223" s="4"/>
      <c r="MYJ1223" s="18"/>
      <c r="MYK1223" s="3"/>
      <c r="MYL1223" s="4"/>
      <c r="MYM1223" s="4"/>
      <c r="MYN1223" s="18"/>
      <c r="MYO1223" s="3"/>
      <c r="MYP1223" s="4"/>
      <c r="MYQ1223" s="4"/>
      <c r="MYR1223" s="18"/>
      <c r="MYS1223" s="3"/>
      <c r="MYT1223" s="4"/>
      <c r="MYU1223" s="4"/>
      <c r="MYV1223" s="18"/>
      <c r="MYW1223" s="3"/>
      <c r="MYX1223" s="4"/>
      <c r="MYY1223" s="4"/>
      <c r="MYZ1223" s="18"/>
      <c r="MZA1223" s="3"/>
      <c r="MZB1223" s="4"/>
      <c r="MZC1223" s="4"/>
      <c r="MZD1223" s="18"/>
      <c r="MZE1223" s="3"/>
      <c r="MZF1223" s="4"/>
      <c r="MZG1223" s="4"/>
      <c r="MZH1223" s="18"/>
      <c r="MZI1223" s="3"/>
      <c r="MZJ1223" s="4"/>
      <c r="MZK1223" s="4"/>
      <c r="MZL1223" s="18"/>
      <c r="MZM1223" s="3"/>
      <c r="MZN1223" s="4"/>
      <c r="MZO1223" s="4"/>
      <c r="MZP1223" s="18"/>
      <c r="MZQ1223" s="3"/>
      <c r="MZR1223" s="4"/>
      <c r="MZS1223" s="4"/>
      <c r="MZT1223" s="18"/>
      <c r="MZU1223" s="3"/>
      <c r="MZV1223" s="4"/>
      <c r="MZW1223" s="4"/>
      <c r="MZX1223" s="18"/>
      <c r="MZY1223" s="3"/>
      <c r="MZZ1223" s="4"/>
      <c r="NAA1223" s="4"/>
      <c r="NAB1223" s="18"/>
      <c r="NAC1223" s="3"/>
      <c r="NAD1223" s="4"/>
      <c r="NAE1223" s="4"/>
      <c r="NAF1223" s="18"/>
      <c r="NAG1223" s="3"/>
      <c r="NAH1223" s="4"/>
      <c r="NAI1223" s="4"/>
      <c r="NAJ1223" s="18"/>
      <c r="NAK1223" s="3"/>
      <c r="NAL1223" s="4"/>
      <c r="NAM1223" s="4"/>
      <c r="NAN1223" s="18"/>
      <c r="NAO1223" s="3"/>
      <c r="NAP1223" s="4"/>
      <c r="NAQ1223" s="4"/>
      <c r="NAR1223" s="18"/>
      <c r="NAS1223" s="3"/>
      <c r="NAT1223" s="4"/>
      <c r="NAU1223" s="4"/>
      <c r="NAV1223" s="18"/>
      <c r="NAW1223" s="3"/>
      <c r="NAX1223" s="4"/>
      <c r="NAY1223" s="4"/>
      <c r="NAZ1223" s="18"/>
      <c r="NBA1223" s="3"/>
      <c r="NBB1223" s="4"/>
      <c r="NBC1223" s="4"/>
      <c r="NBD1223" s="18"/>
      <c r="NBE1223" s="3"/>
      <c r="NBF1223" s="4"/>
      <c r="NBG1223" s="4"/>
      <c r="NBH1223" s="18"/>
      <c r="NBI1223" s="3"/>
      <c r="NBJ1223" s="4"/>
      <c r="NBK1223" s="4"/>
      <c r="NBL1223" s="18"/>
      <c r="NBM1223" s="3"/>
      <c r="NBN1223" s="4"/>
      <c r="NBO1223" s="4"/>
      <c r="NBP1223" s="18"/>
      <c r="NBQ1223" s="3"/>
      <c r="NBR1223" s="4"/>
      <c r="NBS1223" s="4"/>
      <c r="NBT1223" s="18"/>
      <c r="NBU1223" s="3"/>
      <c r="NBV1223" s="4"/>
      <c r="NBW1223" s="4"/>
      <c r="NBX1223" s="18"/>
      <c r="NBY1223" s="3"/>
      <c r="NBZ1223" s="4"/>
      <c r="NCA1223" s="4"/>
      <c r="NCB1223" s="18"/>
      <c r="NCC1223" s="3"/>
      <c r="NCD1223" s="4"/>
      <c r="NCE1223" s="4"/>
      <c r="NCF1223" s="18"/>
      <c r="NCG1223" s="3"/>
      <c r="NCH1223" s="4"/>
      <c r="NCI1223" s="4"/>
      <c r="NCJ1223" s="18"/>
      <c r="NCK1223" s="3"/>
      <c r="NCL1223" s="4"/>
      <c r="NCM1223" s="4"/>
      <c r="NCN1223" s="18"/>
      <c r="NCO1223" s="3"/>
      <c r="NCP1223" s="4"/>
      <c r="NCQ1223" s="4"/>
      <c r="NCR1223" s="18"/>
      <c r="NCS1223" s="3"/>
      <c r="NCT1223" s="4"/>
      <c r="NCU1223" s="4"/>
      <c r="NCV1223" s="18"/>
      <c r="NCW1223" s="3"/>
      <c r="NCX1223" s="4"/>
      <c r="NCY1223" s="4"/>
      <c r="NCZ1223" s="18"/>
      <c r="NDA1223" s="3"/>
      <c r="NDB1223" s="4"/>
      <c r="NDC1223" s="4"/>
      <c r="NDD1223" s="18"/>
      <c r="NDE1223" s="3"/>
      <c r="NDF1223" s="4"/>
      <c r="NDG1223" s="4"/>
      <c r="NDH1223" s="18"/>
      <c r="NDI1223" s="3"/>
      <c r="NDJ1223" s="4"/>
      <c r="NDK1223" s="4"/>
      <c r="NDL1223" s="18"/>
      <c r="NDM1223" s="3"/>
      <c r="NDN1223" s="4"/>
      <c r="NDO1223" s="4"/>
      <c r="NDP1223" s="18"/>
      <c r="NDQ1223" s="3"/>
      <c r="NDR1223" s="4"/>
      <c r="NDS1223" s="4"/>
      <c r="NDT1223" s="18"/>
      <c r="NDU1223" s="3"/>
      <c r="NDV1223" s="4"/>
      <c r="NDW1223" s="4"/>
      <c r="NDX1223" s="18"/>
      <c r="NDY1223" s="3"/>
      <c r="NDZ1223" s="4"/>
      <c r="NEA1223" s="4"/>
      <c r="NEB1223" s="18"/>
      <c r="NEC1223" s="3"/>
      <c r="NED1223" s="4"/>
      <c r="NEE1223" s="4"/>
      <c r="NEF1223" s="18"/>
      <c r="NEG1223" s="3"/>
      <c r="NEH1223" s="4"/>
      <c r="NEI1223" s="4"/>
      <c r="NEJ1223" s="18"/>
      <c r="NEK1223" s="3"/>
      <c r="NEL1223" s="4"/>
      <c r="NEM1223" s="4"/>
      <c r="NEN1223" s="18"/>
      <c r="NEO1223" s="3"/>
      <c r="NEP1223" s="4"/>
      <c r="NEQ1223" s="4"/>
      <c r="NER1223" s="18"/>
      <c r="NES1223" s="3"/>
      <c r="NET1223" s="4"/>
      <c r="NEU1223" s="4"/>
      <c r="NEV1223" s="18"/>
      <c r="NEW1223" s="3"/>
      <c r="NEX1223" s="4"/>
      <c r="NEY1223" s="4"/>
      <c r="NEZ1223" s="18"/>
      <c r="NFA1223" s="3"/>
      <c r="NFB1223" s="4"/>
      <c r="NFC1223" s="4"/>
      <c r="NFD1223" s="18"/>
      <c r="NFE1223" s="3"/>
      <c r="NFF1223" s="4"/>
      <c r="NFG1223" s="4"/>
      <c r="NFH1223" s="18"/>
      <c r="NFI1223" s="3"/>
      <c r="NFJ1223" s="4"/>
      <c r="NFK1223" s="4"/>
      <c r="NFL1223" s="18"/>
      <c r="NFM1223" s="3"/>
      <c r="NFN1223" s="4"/>
      <c r="NFO1223" s="4"/>
      <c r="NFP1223" s="18"/>
      <c r="NFQ1223" s="3"/>
      <c r="NFR1223" s="4"/>
      <c r="NFS1223" s="4"/>
      <c r="NFT1223" s="18"/>
      <c r="NFU1223" s="3"/>
      <c r="NFV1223" s="4"/>
      <c r="NFW1223" s="4"/>
      <c r="NFX1223" s="18"/>
      <c r="NFY1223" s="3"/>
      <c r="NFZ1223" s="4"/>
      <c r="NGA1223" s="4"/>
      <c r="NGB1223" s="18"/>
      <c r="NGC1223" s="3"/>
      <c r="NGD1223" s="4"/>
      <c r="NGE1223" s="4"/>
      <c r="NGF1223" s="18"/>
      <c r="NGG1223" s="3"/>
      <c r="NGH1223" s="4"/>
      <c r="NGI1223" s="4"/>
      <c r="NGJ1223" s="18"/>
      <c r="NGK1223" s="3"/>
      <c r="NGL1223" s="4"/>
      <c r="NGM1223" s="4"/>
      <c r="NGN1223" s="18"/>
      <c r="NGO1223" s="3"/>
      <c r="NGP1223" s="4"/>
      <c r="NGQ1223" s="4"/>
      <c r="NGR1223" s="18"/>
      <c r="NGS1223" s="3"/>
      <c r="NGT1223" s="4"/>
      <c r="NGU1223" s="4"/>
      <c r="NGV1223" s="18"/>
      <c r="NGW1223" s="3"/>
      <c r="NGX1223" s="4"/>
      <c r="NGY1223" s="4"/>
      <c r="NGZ1223" s="18"/>
      <c r="NHA1223" s="3"/>
      <c r="NHB1223" s="4"/>
      <c r="NHC1223" s="4"/>
      <c r="NHD1223" s="18"/>
      <c r="NHE1223" s="3"/>
      <c r="NHF1223" s="4"/>
      <c r="NHG1223" s="4"/>
      <c r="NHH1223" s="18"/>
      <c r="NHI1223" s="3"/>
      <c r="NHJ1223" s="4"/>
      <c r="NHK1223" s="4"/>
      <c r="NHL1223" s="18"/>
      <c r="NHM1223" s="3"/>
      <c r="NHN1223" s="4"/>
      <c r="NHO1223" s="4"/>
      <c r="NHP1223" s="18"/>
      <c r="NHQ1223" s="3"/>
      <c r="NHR1223" s="4"/>
      <c r="NHS1223" s="4"/>
      <c r="NHT1223" s="18"/>
      <c r="NHU1223" s="3"/>
      <c r="NHV1223" s="4"/>
      <c r="NHW1223" s="4"/>
      <c r="NHX1223" s="18"/>
      <c r="NHY1223" s="3"/>
      <c r="NHZ1223" s="4"/>
      <c r="NIA1223" s="4"/>
      <c r="NIB1223" s="18"/>
      <c r="NIC1223" s="3"/>
      <c r="NID1223" s="4"/>
      <c r="NIE1223" s="4"/>
      <c r="NIF1223" s="18"/>
      <c r="NIG1223" s="3"/>
      <c r="NIH1223" s="4"/>
      <c r="NII1223" s="4"/>
      <c r="NIJ1223" s="18"/>
      <c r="NIK1223" s="3"/>
      <c r="NIL1223" s="4"/>
      <c r="NIM1223" s="4"/>
      <c r="NIN1223" s="18"/>
      <c r="NIO1223" s="3"/>
      <c r="NIP1223" s="4"/>
      <c r="NIQ1223" s="4"/>
      <c r="NIR1223" s="18"/>
      <c r="NIS1223" s="3"/>
      <c r="NIT1223" s="4"/>
      <c r="NIU1223" s="4"/>
      <c r="NIV1223" s="18"/>
      <c r="NIW1223" s="3"/>
      <c r="NIX1223" s="4"/>
      <c r="NIY1223" s="4"/>
      <c r="NIZ1223" s="18"/>
      <c r="NJA1223" s="3"/>
      <c r="NJB1223" s="4"/>
      <c r="NJC1223" s="4"/>
      <c r="NJD1223" s="18"/>
      <c r="NJE1223" s="3"/>
      <c r="NJF1223" s="4"/>
      <c r="NJG1223" s="4"/>
      <c r="NJH1223" s="18"/>
      <c r="NJI1223" s="3"/>
      <c r="NJJ1223" s="4"/>
      <c r="NJK1223" s="4"/>
      <c r="NJL1223" s="18"/>
      <c r="NJM1223" s="3"/>
      <c r="NJN1223" s="4"/>
      <c r="NJO1223" s="4"/>
      <c r="NJP1223" s="18"/>
      <c r="NJQ1223" s="3"/>
      <c r="NJR1223" s="4"/>
      <c r="NJS1223" s="4"/>
      <c r="NJT1223" s="18"/>
      <c r="NJU1223" s="3"/>
      <c r="NJV1223" s="4"/>
      <c r="NJW1223" s="4"/>
      <c r="NJX1223" s="18"/>
      <c r="NJY1223" s="3"/>
      <c r="NJZ1223" s="4"/>
      <c r="NKA1223" s="4"/>
      <c r="NKB1223" s="18"/>
      <c r="NKC1223" s="3"/>
      <c r="NKD1223" s="4"/>
      <c r="NKE1223" s="4"/>
      <c r="NKF1223" s="18"/>
      <c r="NKG1223" s="3"/>
      <c r="NKH1223" s="4"/>
      <c r="NKI1223" s="4"/>
      <c r="NKJ1223" s="18"/>
      <c r="NKK1223" s="3"/>
      <c r="NKL1223" s="4"/>
      <c r="NKM1223" s="4"/>
      <c r="NKN1223" s="18"/>
      <c r="NKO1223" s="3"/>
      <c r="NKP1223" s="4"/>
      <c r="NKQ1223" s="4"/>
      <c r="NKR1223" s="18"/>
      <c r="NKS1223" s="3"/>
      <c r="NKT1223" s="4"/>
      <c r="NKU1223" s="4"/>
      <c r="NKV1223" s="18"/>
      <c r="NKW1223" s="3"/>
      <c r="NKX1223" s="4"/>
      <c r="NKY1223" s="4"/>
      <c r="NKZ1223" s="18"/>
      <c r="NLA1223" s="3"/>
      <c r="NLB1223" s="4"/>
      <c r="NLC1223" s="4"/>
      <c r="NLD1223" s="18"/>
      <c r="NLE1223" s="3"/>
      <c r="NLF1223" s="4"/>
      <c r="NLG1223" s="4"/>
      <c r="NLH1223" s="18"/>
      <c r="NLI1223" s="3"/>
      <c r="NLJ1223" s="4"/>
      <c r="NLK1223" s="4"/>
      <c r="NLL1223" s="18"/>
      <c r="NLM1223" s="3"/>
      <c r="NLN1223" s="4"/>
      <c r="NLO1223" s="4"/>
      <c r="NLP1223" s="18"/>
      <c r="NLQ1223" s="3"/>
      <c r="NLR1223" s="4"/>
      <c r="NLS1223" s="4"/>
      <c r="NLT1223" s="18"/>
      <c r="NLU1223" s="3"/>
      <c r="NLV1223" s="4"/>
      <c r="NLW1223" s="4"/>
      <c r="NLX1223" s="18"/>
      <c r="NLY1223" s="3"/>
      <c r="NLZ1223" s="4"/>
      <c r="NMA1223" s="4"/>
      <c r="NMB1223" s="18"/>
      <c r="NMC1223" s="3"/>
      <c r="NMD1223" s="4"/>
      <c r="NME1223" s="4"/>
      <c r="NMF1223" s="18"/>
      <c r="NMG1223" s="3"/>
      <c r="NMH1223" s="4"/>
      <c r="NMI1223" s="4"/>
      <c r="NMJ1223" s="18"/>
      <c r="NMK1223" s="3"/>
      <c r="NML1223" s="4"/>
      <c r="NMM1223" s="4"/>
      <c r="NMN1223" s="18"/>
      <c r="NMO1223" s="3"/>
      <c r="NMP1223" s="4"/>
      <c r="NMQ1223" s="4"/>
      <c r="NMR1223" s="18"/>
      <c r="NMS1223" s="3"/>
      <c r="NMT1223" s="4"/>
      <c r="NMU1223" s="4"/>
      <c r="NMV1223" s="18"/>
      <c r="NMW1223" s="3"/>
      <c r="NMX1223" s="4"/>
      <c r="NMY1223" s="4"/>
      <c r="NMZ1223" s="18"/>
      <c r="NNA1223" s="3"/>
      <c r="NNB1223" s="4"/>
      <c r="NNC1223" s="4"/>
      <c r="NND1223" s="18"/>
      <c r="NNE1223" s="3"/>
      <c r="NNF1223" s="4"/>
      <c r="NNG1223" s="4"/>
      <c r="NNH1223" s="18"/>
      <c r="NNI1223" s="3"/>
      <c r="NNJ1223" s="4"/>
      <c r="NNK1223" s="4"/>
      <c r="NNL1223" s="18"/>
      <c r="NNM1223" s="3"/>
      <c r="NNN1223" s="4"/>
      <c r="NNO1223" s="4"/>
      <c r="NNP1223" s="18"/>
      <c r="NNQ1223" s="3"/>
      <c r="NNR1223" s="4"/>
      <c r="NNS1223" s="4"/>
      <c r="NNT1223" s="18"/>
      <c r="NNU1223" s="3"/>
      <c r="NNV1223" s="4"/>
      <c r="NNW1223" s="4"/>
      <c r="NNX1223" s="18"/>
      <c r="NNY1223" s="3"/>
      <c r="NNZ1223" s="4"/>
      <c r="NOA1223" s="4"/>
      <c r="NOB1223" s="18"/>
      <c r="NOC1223" s="3"/>
      <c r="NOD1223" s="4"/>
      <c r="NOE1223" s="4"/>
      <c r="NOF1223" s="18"/>
      <c r="NOG1223" s="3"/>
      <c r="NOH1223" s="4"/>
      <c r="NOI1223" s="4"/>
      <c r="NOJ1223" s="18"/>
      <c r="NOK1223" s="3"/>
      <c r="NOL1223" s="4"/>
      <c r="NOM1223" s="4"/>
      <c r="NON1223" s="18"/>
      <c r="NOO1223" s="3"/>
      <c r="NOP1223" s="4"/>
      <c r="NOQ1223" s="4"/>
      <c r="NOR1223" s="18"/>
      <c r="NOS1223" s="3"/>
      <c r="NOT1223" s="4"/>
      <c r="NOU1223" s="4"/>
      <c r="NOV1223" s="18"/>
      <c r="NOW1223" s="3"/>
      <c r="NOX1223" s="4"/>
      <c r="NOY1223" s="4"/>
      <c r="NOZ1223" s="18"/>
      <c r="NPA1223" s="3"/>
      <c r="NPB1223" s="4"/>
      <c r="NPC1223" s="4"/>
      <c r="NPD1223" s="18"/>
      <c r="NPE1223" s="3"/>
      <c r="NPF1223" s="4"/>
      <c r="NPG1223" s="4"/>
      <c r="NPH1223" s="18"/>
      <c r="NPI1223" s="3"/>
      <c r="NPJ1223" s="4"/>
      <c r="NPK1223" s="4"/>
      <c r="NPL1223" s="18"/>
      <c r="NPM1223" s="3"/>
      <c r="NPN1223" s="4"/>
      <c r="NPO1223" s="4"/>
      <c r="NPP1223" s="18"/>
      <c r="NPQ1223" s="3"/>
      <c r="NPR1223" s="4"/>
      <c r="NPS1223" s="4"/>
      <c r="NPT1223" s="18"/>
      <c r="NPU1223" s="3"/>
      <c r="NPV1223" s="4"/>
      <c r="NPW1223" s="4"/>
      <c r="NPX1223" s="18"/>
      <c r="NPY1223" s="3"/>
      <c r="NPZ1223" s="4"/>
      <c r="NQA1223" s="4"/>
      <c r="NQB1223" s="18"/>
      <c r="NQC1223" s="3"/>
      <c r="NQD1223" s="4"/>
      <c r="NQE1223" s="4"/>
      <c r="NQF1223" s="18"/>
      <c r="NQG1223" s="3"/>
      <c r="NQH1223" s="4"/>
      <c r="NQI1223" s="4"/>
      <c r="NQJ1223" s="18"/>
      <c r="NQK1223" s="3"/>
      <c r="NQL1223" s="4"/>
      <c r="NQM1223" s="4"/>
      <c r="NQN1223" s="18"/>
      <c r="NQO1223" s="3"/>
      <c r="NQP1223" s="4"/>
      <c r="NQQ1223" s="4"/>
      <c r="NQR1223" s="18"/>
      <c r="NQS1223" s="3"/>
      <c r="NQT1223" s="4"/>
      <c r="NQU1223" s="4"/>
      <c r="NQV1223" s="18"/>
      <c r="NQW1223" s="3"/>
      <c r="NQX1223" s="4"/>
      <c r="NQY1223" s="4"/>
      <c r="NQZ1223" s="18"/>
      <c r="NRA1223" s="3"/>
      <c r="NRB1223" s="4"/>
      <c r="NRC1223" s="4"/>
      <c r="NRD1223" s="18"/>
      <c r="NRE1223" s="3"/>
      <c r="NRF1223" s="4"/>
      <c r="NRG1223" s="4"/>
      <c r="NRH1223" s="18"/>
      <c r="NRI1223" s="3"/>
      <c r="NRJ1223" s="4"/>
      <c r="NRK1223" s="4"/>
      <c r="NRL1223" s="18"/>
      <c r="NRM1223" s="3"/>
      <c r="NRN1223" s="4"/>
      <c r="NRO1223" s="4"/>
      <c r="NRP1223" s="18"/>
      <c r="NRQ1223" s="3"/>
      <c r="NRR1223" s="4"/>
      <c r="NRS1223" s="4"/>
      <c r="NRT1223" s="18"/>
      <c r="NRU1223" s="3"/>
      <c r="NRV1223" s="4"/>
      <c r="NRW1223" s="4"/>
      <c r="NRX1223" s="18"/>
      <c r="NRY1223" s="3"/>
      <c r="NRZ1223" s="4"/>
      <c r="NSA1223" s="4"/>
      <c r="NSB1223" s="18"/>
      <c r="NSC1223" s="3"/>
      <c r="NSD1223" s="4"/>
      <c r="NSE1223" s="4"/>
      <c r="NSF1223" s="18"/>
      <c r="NSG1223" s="3"/>
      <c r="NSH1223" s="4"/>
      <c r="NSI1223" s="4"/>
      <c r="NSJ1223" s="18"/>
      <c r="NSK1223" s="3"/>
      <c r="NSL1223" s="4"/>
      <c r="NSM1223" s="4"/>
      <c r="NSN1223" s="18"/>
      <c r="NSO1223" s="3"/>
      <c r="NSP1223" s="4"/>
      <c r="NSQ1223" s="4"/>
      <c r="NSR1223" s="18"/>
      <c r="NSS1223" s="3"/>
      <c r="NST1223" s="4"/>
      <c r="NSU1223" s="4"/>
      <c r="NSV1223" s="18"/>
      <c r="NSW1223" s="3"/>
      <c r="NSX1223" s="4"/>
      <c r="NSY1223" s="4"/>
      <c r="NSZ1223" s="18"/>
      <c r="NTA1223" s="3"/>
      <c r="NTB1223" s="4"/>
      <c r="NTC1223" s="4"/>
      <c r="NTD1223" s="18"/>
      <c r="NTE1223" s="3"/>
      <c r="NTF1223" s="4"/>
      <c r="NTG1223" s="4"/>
      <c r="NTH1223" s="18"/>
      <c r="NTI1223" s="3"/>
      <c r="NTJ1223" s="4"/>
      <c r="NTK1223" s="4"/>
      <c r="NTL1223" s="18"/>
      <c r="NTM1223" s="3"/>
      <c r="NTN1223" s="4"/>
      <c r="NTO1223" s="4"/>
      <c r="NTP1223" s="18"/>
      <c r="NTQ1223" s="3"/>
      <c r="NTR1223" s="4"/>
      <c r="NTS1223" s="4"/>
      <c r="NTT1223" s="18"/>
      <c r="NTU1223" s="3"/>
      <c r="NTV1223" s="4"/>
      <c r="NTW1223" s="4"/>
      <c r="NTX1223" s="18"/>
      <c r="NTY1223" s="3"/>
      <c r="NTZ1223" s="4"/>
      <c r="NUA1223" s="4"/>
      <c r="NUB1223" s="18"/>
      <c r="NUC1223" s="3"/>
      <c r="NUD1223" s="4"/>
      <c r="NUE1223" s="4"/>
      <c r="NUF1223" s="18"/>
      <c r="NUG1223" s="3"/>
      <c r="NUH1223" s="4"/>
      <c r="NUI1223" s="4"/>
      <c r="NUJ1223" s="18"/>
      <c r="NUK1223" s="3"/>
      <c r="NUL1223" s="4"/>
      <c r="NUM1223" s="4"/>
      <c r="NUN1223" s="18"/>
      <c r="NUO1223" s="3"/>
      <c r="NUP1223" s="4"/>
      <c r="NUQ1223" s="4"/>
      <c r="NUR1223" s="18"/>
      <c r="NUS1223" s="3"/>
      <c r="NUT1223" s="4"/>
      <c r="NUU1223" s="4"/>
      <c r="NUV1223" s="18"/>
      <c r="NUW1223" s="3"/>
      <c r="NUX1223" s="4"/>
      <c r="NUY1223" s="4"/>
      <c r="NUZ1223" s="18"/>
      <c r="NVA1223" s="3"/>
      <c r="NVB1223" s="4"/>
      <c r="NVC1223" s="4"/>
      <c r="NVD1223" s="18"/>
      <c r="NVE1223" s="3"/>
      <c r="NVF1223" s="4"/>
      <c r="NVG1223" s="4"/>
      <c r="NVH1223" s="18"/>
      <c r="NVI1223" s="3"/>
      <c r="NVJ1223" s="4"/>
      <c r="NVK1223" s="4"/>
      <c r="NVL1223" s="18"/>
      <c r="NVM1223" s="3"/>
      <c r="NVN1223" s="4"/>
      <c r="NVO1223" s="4"/>
      <c r="NVP1223" s="18"/>
      <c r="NVQ1223" s="3"/>
      <c r="NVR1223" s="4"/>
      <c r="NVS1223" s="4"/>
      <c r="NVT1223" s="18"/>
      <c r="NVU1223" s="3"/>
      <c r="NVV1223" s="4"/>
      <c r="NVW1223" s="4"/>
      <c r="NVX1223" s="18"/>
      <c r="NVY1223" s="3"/>
      <c r="NVZ1223" s="4"/>
      <c r="NWA1223" s="4"/>
      <c r="NWB1223" s="18"/>
      <c r="NWC1223" s="3"/>
      <c r="NWD1223" s="4"/>
      <c r="NWE1223" s="4"/>
      <c r="NWF1223" s="18"/>
      <c r="NWG1223" s="3"/>
      <c r="NWH1223" s="4"/>
      <c r="NWI1223" s="4"/>
      <c r="NWJ1223" s="18"/>
      <c r="NWK1223" s="3"/>
      <c r="NWL1223" s="4"/>
      <c r="NWM1223" s="4"/>
      <c r="NWN1223" s="18"/>
      <c r="NWO1223" s="3"/>
      <c r="NWP1223" s="4"/>
      <c r="NWQ1223" s="4"/>
      <c r="NWR1223" s="18"/>
      <c r="NWS1223" s="3"/>
      <c r="NWT1223" s="4"/>
      <c r="NWU1223" s="4"/>
      <c r="NWV1223" s="18"/>
      <c r="NWW1223" s="3"/>
      <c r="NWX1223" s="4"/>
      <c r="NWY1223" s="4"/>
      <c r="NWZ1223" s="18"/>
      <c r="NXA1223" s="3"/>
      <c r="NXB1223" s="4"/>
      <c r="NXC1223" s="4"/>
      <c r="NXD1223" s="18"/>
      <c r="NXE1223" s="3"/>
      <c r="NXF1223" s="4"/>
      <c r="NXG1223" s="4"/>
      <c r="NXH1223" s="18"/>
      <c r="NXI1223" s="3"/>
      <c r="NXJ1223" s="4"/>
      <c r="NXK1223" s="4"/>
      <c r="NXL1223" s="18"/>
      <c r="NXM1223" s="3"/>
      <c r="NXN1223" s="4"/>
      <c r="NXO1223" s="4"/>
      <c r="NXP1223" s="18"/>
      <c r="NXQ1223" s="3"/>
      <c r="NXR1223" s="4"/>
      <c r="NXS1223" s="4"/>
      <c r="NXT1223" s="18"/>
      <c r="NXU1223" s="3"/>
      <c r="NXV1223" s="4"/>
      <c r="NXW1223" s="4"/>
      <c r="NXX1223" s="18"/>
      <c r="NXY1223" s="3"/>
      <c r="NXZ1223" s="4"/>
      <c r="NYA1223" s="4"/>
      <c r="NYB1223" s="18"/>
      <c r="NYC1223" s="3"/>
      <c r="NYD1223" s="4"/>
      <c r="NYE1223" s="4"/>
      <c r="NYF1223" s="18"/>
      <c r="NYG1223" s="3"/>
      <c r="NYH1223" s="4"/>
      <c r="NYI1223" s="4"/>
      <c r="NYJ1223" s="18"/>
      <c r="NYK1223" s="3"/>
      <c r="NYL1223" s="4"/>
      <c r="NYM1223" s="4"/>
      <c r="NYN1223" s="18"/>
      <c r="NYO1223" s="3"/>
      <c r="NYP1223" s="4"/>
      <c r="NYQ1223" s="4"/>
      <c r="NYR1223" s="18"/>
      <c r="NYS1223" s="3"/>
      <c r="NYT1223" s="4"/>
      <c r="NYU1223" s="4"/>
      <c r="NYV1223" s="18"/>
      <c r="NYW1223" s="3"/>
      <c r="NYX1223" s="4"/>
      <c r="NYY1223" s="4"/>
      <c r="NYZ1223" s="18"/>
      <c r="NZA1223" s="3"/>
      <c r="NZB1223" s="4"/>
      <c r="NZC1223" s="4"/>
      <c r="NZD1223" s="18"/>
      <c r="NZE1223" s="3"/>
      <c r="NZF1223" s="4"/>
      <c r="NZG1223" s="4"/>
      <c r="NZH1223" s="18"/>
      <c r="NZI1223" s="3"/>
      <c r="NZJ1223" s="4"/>
      <c r="NZK1223" s="4"/>
      <c r="NZL1223" s="18"/>
      <c r="NZM1223" s="3"/>
      <c r="NZN1223" s="4"/>
      <c r="NZO1223" s="4"/>
      <c r="NZP1223" s="18"/>
      <c r="NZQ1223" s="3"/>
      <c r="NZR1223" s="4"/>
      <c r="NZS1223" s="4"/>
      <c r="NZT1223" s="18"/>
      <c r="NZU1223" s="3"/>
      <c r="NZV1223" s="4"/>
      <c r="NZW1223" s="4"/>
      <c r="NZX1223" s="18"/>
      <c r="NZY1223" s="3"/>
      <c r="NZZ1223" s="4"/>
      <c r="OAA1223" s="4"/>
      <c r="OAB1223" s="18"/>
      <c r="OAC1223" s="3"/>
      <c r="OAD1223" s="4"/>
      <c r="OAE1223" s="4"/>
      <c r="OAF1223" s="18"/>
      <c r="OAG1223" s="3"/>
      <c r="OAH1223" s="4"/>
      <c r="OAI1223" s="4"/>
      <c r="OAJ1223" s="18"/>
      <c r="OAK1223" s="3"/>
      <c r="OAL1223" s="4"/>
      <c r="OAM1223" s="4"/>
      <c r="OAN1223" s="18"/>
      <c r="OAO1223" s="3"/>
      <c r="OAP1223" s="4"/>
      <c r="OAQ1223" s="4"/>
      <c r="OAR1223" s="18"/>
      <c r="OAS1223" s="3"/>
      <c r="OAT1223" s="4"/>
      <c r="OAU1223" s="4"/>
      <c r="OAV1223" s="18"/>
      <c r="OAW1223" s="3"/>
      <c r="OAX1223" s="4"/>
      <c r="OAY1223" s="4"/>
      <c r="OAZ1223" s="18"/>
      <c r="OBA1223" s="3"/>
      <c r="OBB1223" s="4"/>
      <c r="OBC1223" s="4"/>
      <c r="OBD1223" s="18"/>
      <c r="OBE1223" s="3"/>
      <c r="OBF1223" s="4"/>
      <c r="OBG1223" s="4"/>
      <c r="OBH1223" s="18"/>
      <c r="OBI1223" s="3"/>
      <c r="OBJ1223" s="4"/>
      <c r="OBK1223" s="4"/>
      <c r="OBL1223" s="18"/>
      <c r="OBM1223" s="3"/>
      <c r="OBN1223" s="4"/>
      <c r="OBO1223" s="4"/>
      <c r="OBP1223" s="18"/>
      <c r="OBQ1223" s="3"/>
      <c r="OBR1223" s="4"/>
      <c r="OBS1223" s="4"/>
      <c r="OBT1223" s="18"/>
      <c r="OBU1223" s="3"/>
      <c r="OBV1223" s="4"/>
      <c r="OBW1223" s="4"/>
      <c r="OBX1223" s="18"/>
      <c r="OBY1223" s="3"/>
      <c r="OBZ1223" s="4"/>
      <c r="OCA1223" s="4"/>
      <c r="OCB1223" s="18"/>
      <c r="OCC1223" s="3"/>
      <c r="OCD1223" s="4"/>
      <c r="OCE1223" s="4"/>
      <c r="OCF1223" s="18"/>
      <c r="OCG1223" s="3"/>
      <c r="OCH1223" s="4"/>
      <c r="OCI1223" s="4"/>
      <c r="OCJ1223" s="18"/>
      <c r="OCK1223" s="3"/>
      <c r="OCL1223" s="4"/>
      <c r="OCM1223" s="4"/>
      <c r="OCN1223" s="18"/>
      <c r="OCO1223" s="3"/>
      <c r="OCP1223" s="4"/>
      <c r="OCQ1223" s="4"/>
      <c r="OCR1223" s="18"/>
      <c r="OCS1223" s="3"/>
      <c r="OCT1223" s="4"/>
      <c r="OCU1223" s="4"/>
      <c r="OCV1223" s="18"/>
      <c r="OCW1223" s="3"/>
      <c r="OCX1223" s="4"/>
      <c r="OCY1223" s="4"/>
      <c r="OCZ1223" s="18"/>
      <c r="ODA1223" s="3"/>
      <c r="ODB1223" s="4"/>
      <c r="ODC1223" s="4"/>
      <c r="ODD1223" s="18"/>
      <c r="ODE1223" s="3"/>
      <c r="ODF1223" s="4"/>
      <c r="ODG1223" s="4"/>
      <c r="ODH1223" s="18"/>
      <c r="ODI1223" s="3"/>
      <c r="ODJ1223" s="4"/>
      <c r="ODK1223" s="4"/>
      <c r="ODL1223" s="18"/>
      <c r="ODM1223" s="3"/>
      <c r="ODN1223" s="4"/>
      <c r="ODO1223" s="4"/>
      <c r="ODP1223" s="18"/>
      <c r="ODQ1223" s="3"/>
      <c r="ODR1223" s="4"/>
      <c r="ODS1223" s="4"/>
      <c r="ODT1223" s="18"/>
      <c r="ODU1223" s="3"/>
      <c r="ODV1223" s="4"/>
      <c r="ODW1223" s="4"/>
      <c r="ODX1223" s="18"/>
      <c r="ODY1223" s="3"/>
      <c r="ODZ1223" s="4"/>
      <c r="OEA1223" s="4"/>
      <c r="OEB1223" s="18"/>
      <c r="OEC1223" s="3"/>
      <c r="OED1223" s="4"/>
      <c r="OEE1223" s="4"/>
      <c r="OEF1223" s="18"/>
      <c r="OEG1223" s="3"/>
      <c r="OEH1223" s="4"/>
      <c r="OEI1223" s="4"/>
      <c r="OEJ1223" s="18"/>
      <c r="OEK1223" s="3"/>
      <c r="OEL1223" s="4"/>
      <c r="OEM1223" s="4"/>
      <c r="OEN1223" s="18"/>
      <c r="OEO1223" s="3"/>
      <c r="OEP1223" s="4"/>
      <c r="OEQ1223" s="4"/>
      <c r="OER1223" s="18"/>
      <c r="OES1223" s="3"/>
      <c r="OET1223" s="4"/>
      <c r="OEU1223" s="4"/>
      <c r="OEV1223" s="18"/>
      <c r="OEW1223" s="3"/>
      <c r="OEX1223" s="4"/>
      <c r="OEY1223" s="4"/>
      <c r="OEZ1223" s="18"/>
      <c r="OFA1223" s="3"/>
      <c r="OFB1223" s="4"/>
      <c r="OFC1223" s="4"/>
      <c r="OFD1223" s="18"/>
      <c r="OFE1223" s="3"/>
      <c r="OFF1223" s="4"/>
      <c r="OFG1223" s="4"/>
      <c r="OFH1223" s="18"/>
      <c r="OFI1223" s="3"/>
      <c r="OFJ1223" s="4"/>
      <c r="OFK1223" s="4"/>
      <c r="OFL1223" s="18"/>
      <c r="OFM1223" s="3"/>
      <c r="OFN1223" s="4"/>
      <c r="OFO1223" s="4"/>
      <c r="OFP1223" s="18"/>
      <c r="OFQ1223" s="3"/>
      <c r="OFR1223" s="4"/>
      <c r="OFS1223" s="4"/>
      <c r="OFT1223" s="18"/>
      <c r="OFU1223" s="3"/>
      <c r="OFV1223" s="4"/>
      <c r="OFW1223" s="4"/>
      <c r="OFX1223" s="18"/>
      <c r="OFY1223" s="3"/>
      <c r="OFZ1223" s="4"/>
      <c r="OGA1223" s="4"/>
      <c r="OGB1223" s="18"/>
      <c r="OGC1223" s="3"/>
      <c r="OGD1223" s="4"/>
      <c r="OGE1223" s="4"/>
      <c r="OGF1223" s="18"/>
      <c r="OGG1223" s="3"/>
      <c r="OGH1223" s="4"/>
      <c r="OGI1223" s="4"/>
      <c r="OGJ1223" s="18"/>
      <c r="OGK1223" s="3"/>
      <c r="OGL1223" s="4"/>
      <c r="OGM1223" s="4"/>
      <c r="OGN1223" s="18"/>
      <c r="OGO1223" s="3"/>
      <c r="OGP1223" s="4"/>
      <c r="OGQ1223" s="4"/>
      <c r="OGR1223" s="18"/>
      <c r="OGS1223" s="3"/>
      <c r="OGT1223" s="4"/>
      <c r="OGU1223" s="4"/>
      <c r="OGV1223" s="18"/>
      <c r="OGW1223" s="3"/>
      <c r="OGX1223" s="4"/>
      <c r="OGY1223" s="4"/>
      <c r="OGZ1223" s="18"/>
      <c r="OHA1223" s="3"/>
      <c r="OHB1223" s="4"/>
      <c r="OHC1223" s="4"/>
      <c r="OHD1223" s="18"/>
      <c r="OHE1223" s="3"/>
      <c r="OHF1223" s="4"/>
      <c r="OHG1223" s="4"/>
      <c r="OHH1223" s="18"/>
      <c r="OHI1223" s="3"/>
      <c r="OHJ1223" s="4"/>
      <c r="OHK1223" s="4"/>
      <c r="OHL1223" s="18"/>
      <c r="OHM1223" s="3"/>
      <c r="OHN1223" s="4"/>
      <c r="OHO1223" s="4"/>
      <c r="OHP1223" s="18"/>
      <c r="OHQ1223" s="3"/>
      <c r="OHR1223" s="4"/>
      <c r="OHS1223" s="4"/>
      <c r="OHT1223" s="18"/>
      <c r="OHU1223" s="3"/>
      <c r="OHV1223" s="4"/>
      <c r="OHW1223" s="4"/>
      <c r="OHX1223" s="18"/>
      <c r="OHY1223" s="3"/>
      <c r="OHZ1223" s="4"/>
      <c r="OIA1223" s="4"/>
      <c r="OIB1223" s="18"/>
      <c r="OIC1223" s="3"/>
      <c r="OID1223" s="4"/>
      <c r="OIE1223" s="4"/>
      <c r="OIF1223" s="18"/>
      <c r="OIG1223" s="3"/>
      <c r="OIH1223" s="4"/>
      <c r="OII1223" s="4"/>
      <c r="OIJ1223" s="18"/>
      <c r="OIK1223" s="3"/>
      <c r="OIL1223" s="4"/>
      <c r="OIM1223" s="4"/>
      <c r="OIN1223" s="18"/>
      <c r="OIO1223" s="3"/>
      <c r="OIP1223" s="4"/>
      <c r="OIQ1223" s="4"/>
      <c r="OIR1223" s="18"/>
      <c r="OIS1223" s="3"/>
      <c r="OIT1223" s="4"/>
      <c r="OIU1223" s="4"/>
      <c r="OIV1223" s="18"/>
      <c r="OIW1223" s="3"/>
      <c r="OIX1223" s="4"/>
      <c r="OIY1223" s="4"/>
      <c r="OIZ1223" s="18"/>
      <c r="OJA1223" s="3"/>
      <c r="OJB1223" s="4"/>
      <c r="OJC1223" s="4"/>
      <c r="OJD1223" s="18"/>
      <c r="OJE1223" s="3"/>
      <c r="OJF1223" s="4"/>
      <c r="OJG1223" s="4"/>
      <c r="OJH1223" s="18"/>
      <c r="OJI1223" s="3"/>
      <c r="OJJ1223" s="4"/>
      <c r="OJK1223" s="4"/>
      <c r="OJL1223" s="18"/>
      <c r="OJM1223" s="3"/>
      <c r="OJN1223" s="4"/>
      <c r="OJO1223" s="4"/>
      <c r="OJP1223" s="18"/>
      <c r="OJQ1223" s="3"/>
      <c r="OJR1223" s="4"/>
      <c r="OJS1223" s="4"/>
      <c r="OJT1223" s="18"/>
      <c r="OJU1223" s="3"/>
      <c r="OJV1223" s="4"/>
      <c r="OJW1223" s="4"/>
      <c r="OJX1223" s="18"/>
      <c r="OJY1223" s="3"/>
      <c r="OJZ1223" s="4"/>
      <c r="OKA1223" s="4"/>
      <c r="OKB1223" s="18"/>
      <c r="OKC1223" s="3"/>
      <c r="OKD1223" s="4"/>
      <c r="OKE1223" s="4"/>
      <c r="OKF1223" s="18"/>
      <c r="OKG1223" s="3"/>
      <c r="OKH1223" s="4"/>
      <c r="OKI1223" s="4"/>
      <c r="OKJ1223" s="18"/>
      <c r="OKK1223" s="3"/>
      <c r="OKL1223" s="4"/>
      <c r="OKM1223" s="4"/>
      <c r="OKN1223" s="18"/>
      <c r="OKO1223" s="3"/>
      <c r="OKP1223" s="4"/>
      <c r="OKQ1223" s="4"/>
      <c r="OKR1223" s="18"/>
      <c r="OKS1223" s="3"/>
      <c r="OKT1223" s="4"/>
      <c r="OKU1223" s="4"/>
      <c r="OKV1223" s="18"/>
      <c r="OKW1223" s="3"/>
      <c r="OKX1223" s="4"/>
      <c r="OKY1223" s="4"/>
      <c r="OKZ1223" s="18"/>
      <c r="OLA1223" s="3"/>
      <c r="OLB1223" s="4"/>
      <c r="OLC1223" s="4"/>
      <c r="OLD1223" s="18"/>
      <c r="OLE1223" s="3"/>
      <c r="OLF1223" s="4"/>
      <c r="OLG1223" s="4"/>
      <c r="OLH1223" s="18"/>
      <c r="OLI1223" s="3"/>
      <c r="OLJ1223" s="4"/>
      <c r="OLK1223" s="4"/>
      <c r="OLL1223" s="18"/>
      <c r="OLM1223" s="3"/>
      <c r="OLN1223" s="4"/>
      <c r="OLO1223" s="4"/>
      <c r="OLP1223" s="18"/>
      <c r="OLQ1223" s="3"/>
      <c r="OLR1223" s="4"/>
      <c r="OLS1223" s="4"/>
      <c r="OLT1223" s="18"/>
      <c r="OLU1223" s="3"/>
      <c r="OLV1223" s="4"/>
      <c r="OLW1223" s="4"/>
      <c r="OLX1223" s="18"/>
      <c r="OLY1223" s="3"/>
      <c r="OLZ1223" s="4"/>
      <c r="OMA1223" s="4"/>
      <c r="OMB1223" s="18"/>
      <c r="OMC1223" s="3"/>
      <c r="OMD1223" s="4"/>
      <c r="OME1223" s="4"/>
      <c r="OMF1223" s="18"/>
      <c r="OMG1223" s="3"/>
      <c r="OMH1223" s="4"/>
      <c r="OMI1223" s="4"/>
      <c r="OMJ1223" s="18"/>
      <c r="OMK1223" s="3"/>
      <c r="OML1223" s="4"/>
      <c r="OMM1223" s="4"/>
      <c r="OMN1223" s="18"/>
      <c r="OMO1223" s="3"/>
      <c r="OMP1223" s="4"/>
      <c r="OMQ1223" s="4"/>
      <c r="OMR1223" s="18"/>
      <c r="OMS1223" s="3"/>
      <c r="OMT1223" s="4"/>
      <c r="OMU1223" s="4"/>
      <c r="OMV1223" s="18"/>
      <c r="OMW1223" s="3"/>
      <c r="OMX1223" s="4"/>
      <c r="OMY1223" s="4"/>
      <c r="OMZ1223" s="18"/>
      <c r="ONA1223" s="3"/>
      <c r="ONB1223" s="4"/>
      <c r="ONC1223" s="4"/>
      <c r="OND1223" s="18"/>
      <c r="ONE1223" s="3"/>
      <c r="ONF1223" s="4"/>
      <c r="ONG1223" s="4"/>
      <c r="ONH1223" s="18"/>
      <c r="ONI1223" s="3"/>
      <c r="ONJ1223" s="4"/>
      <c r="ONK1223" s="4"/>
      <c r="ONL1223" s="18"/>
      <c r="ONM1223" s="3"/>
      <c r="ONN1223" s="4"/>
      <c r="ONO1223" s="4"/>
      <c r="ONP1223" s="18"/>
      <c r="ONQ1223" s="3"/>
      <c r="ONR1223" s="4"/>
      <c r="ONS1223" s="4"/>
      <c r="ONT1223" s="18"/>
      <c r="ONU1223" s="3"/>
      <c r="ONV1223" s="4"/>
      <c r="ONW1223" s="4"/>
      <c r="ONX1223" s="18"/>
      <c r="ONY1223" s="3"/>
      <c r="ONZ1223" s="4"/>
      <c r="OOA1223" s="4"/>
      <c r="OOB1223" s="18"/>
      <c r="OOC1223" s="3"/>
      <c r="OOD1223" s="4"/>
      <c r="OOE1223" s="4"/>
      <c r="OOF1223" s="18"/>
      <c r="OOG1223" s="3"/>
      <c r="OOH1223" s="4"/>
      <c r="OOI1223" s="4"/>
      <c r="OOJ1223" s="18"/>
      <c r="OOK1223" s="3"/>
      <c r="OOL1223" s="4"/>
      <c r="OOM1223" s="4"/>
      <c r="OON1223" s="18"/>
      <c r="OOO1223" s="3"/>
      <c r="OOP1223" s="4"/>
      <c r="OOQ1223" s="4"/>
      <c r="OOR1223" s="18"/>
      <c r="OOS1223" s="3"/>
      <c r="OOT1223" s="4"/>
      <c r="OOU1223" s="4"/>
      <c r="OOV1223" s="18"/>
      <c r="OOW1223" s="3"/>
      <c r="OOX1223" s="4"/>
      <c r="OOY1223" s="4"/>
      <c r="OOZ1223" s="18"/>
      <c r="OPA1223" s="3"/>
      <c r="OPB1223" s="4"/>
      <c r="OPC1223" s="4"/>
      <c r="OPD1223" s="18"/>
      <c r="OPE1223" s="3"/>
      <c r="OPF1223" s="4"/>
      <c r="OPG1223" s="4"/>
      <c r="OPH1223" s="18"/>
      <c r="OPI1223" s="3"/>
      <c r="OPJ1223" s="4"/>
      <c r="OPK1223" s="4"/>
      <c r="OPL1223" s="18"/>
      <c r="OPM1223" s="3"/>
      <c r="OPN1223" s="4"/>
      <c r="OPO1223" s="4"/>
      <c r="OPP1223" s="18"/>
      <c r="OPQ1223" s="3"/>
      <c r="OPR1223" s="4"/>
      <c r="OPS1223" s="4"/>
      <c r="OPT1223" s="18"/>
      <c r="OPU1223" s="3"/>
      <c r="OPV1223" s="4"/>
      <c r="OPW1223" s="4"/>
      <c r="OPX1223" s="18"/>
      <c r="OPY1223" s="3"/>
      <c r="OPZ1223" s="4"/>
      <c r="OQA1223" s="4"/>
      <c r="OQB1223" s="18"/>
      <c r="OQC1223" s="3"/>
      <c r="OQD1223" s="4"/>
      <c r="OQE1223" s="4"/>
      <c r="OQF1223" s="18"/>
      <c r="OQG1223" s="3"/>
      <c r="OQH1223" s="4"/>
      <c r="OQI1223" s="4"/>
      <c r="OQJ1223" s="18"/>
      <c r="OQK1223" s="3"/>
      <c r="OQL1223" s="4"/>
      <c r="OQM1223" s="4"/>
      <c r="OQN1223" s="18"/>
      <c r="OQO1223" s="3"/>
      <c r="OQP1223" s="4"/>
      <c r="OQQ1223" s="4"/>
      <c r="OQR1223" s="18"/>
      <c r="OQS1223" s="3"/>
      <c r="OQT1223" s="4"/>
      <c r="OQU1223" s="4"/>
      <c r="OQV1223" s="18"/>
      <c r="OQW1223" s="3"/>
      <c r="OQX1223" s="4"/>
      <c r="OQY1223" s="4"/>
      <c r="OQZ1223" s="18"/>
      <c r="ORA1223" s="3"/>
      <c r="ORB1223" s="4"/>
      <c r="ORC1223" s="4"/>
      <c r="ORD1223" s="18"/>
      <c r="ORE1223" s="3"/>
      <c r="ORF1223" s="4"/>
      <c r="ORG1223" s="4"/>
      <c r="ORH1223" s="18"/>
      <c r="ORI1223" s="3"/>
      <c r="ORJ1223" s="4"/>
      <c r="ORK1223" s="4"/>
      <c r="ORL1223" s="18"/>
      <c r="ORM1223" s="3"/>
      <c r="ORN1223" s="4"/>
      <c r="ORO1223" s="4"/>
      <c r="ORP1223" s="18"/>
      <c r="ORQ1223" s="3"/>
      <c r="ORR1223" s="4"/>
      <c r="ORS1223" s="4"/>
      <c r="ORT1223" s="18"/>
      <c r="ORU1223" s="3"/>
      <c r="ORV1223" s="4"/>
      <c r="ORW1223" s="4"/>
      <c r="ORX1223" s="18"/>
      <c r="ORY1223" s="3"/>
      <c r="ORZ1223" s="4"/>
      <c r="OSA1223" s="4"/>
      <c r="OSB1223" s="18"/>
      <c r="OSC1223" s="3"/>
      <c r="OSD1223" s="4"/>
      <c r="OSE1223" s="4"/>
      <c r="OSF1223" s="18"/>
      <c r="OSG1223" s="3"/>
      <c r="OSH1223" s="4"/>
      <c r="OSI1223" s="4"/>
      <c r="OSJ1223" s="18"/>
      <c r="OSK1223" s="3"/>
      <c r="OSL1223" s="4"/>
      <c r="OSM1223" s="4"/>
      <c r="OSN1223" s="18"/>
      <c r="OSO1223" s="3"/>
      <c r="OSP1223" s="4"/>
      <c r="OSQ1223" s="4"/>
      <c r="OSR1223" s="18"/>
      <c r="OSS1223" s="3"/>
      <c r="OST1223" s="4"/>
      <c r="OSU1223" s="4"/>
      <c r="OSV1223" s="18"/>
      <c r="OSW1223" s="3"/>
      <c r="OSX1223" s="4"/>
      <c r="OSY1223" s="4"/>
      <c r="OSZ1223" s="18"/>
      <c r="OTA1223" s="3"/>
      <c r="OTB1223" s="4"/>
      <c r="OTC1223" s="4"/>
      <c r="OTD1223" s="18"/>
      <c r="OTE1223" s="3"/>
      <c r="OTF1223" s="4"/>
      <c r="OTG1223" s="4"/>
      <c r="OTH1223" s="18"/>
      <c r="OTI1223" s="3"/>
      <c r="OTJ1223" s="4"/>
      <c r="OTK1223" s="4"/>
      <c r="OTL1223" s="18"/>
      <c r="OTM1223" s="3"/>
      <c r="OTN1223" s="4"/>
      <c r="OTO1223" s="4"/>
      <c r="OTP1223" s="18"/>
      <c r="OTQ1223" s="3"/>
      <c r="OTR1223" s="4"/>
      <c r="OTS1223" s="4"/>
      <c r="OTT1223" s="18"/>
      <c r="OTU1223" s="3"/>
      <c r="OTV1223" s="4"/>
      <c r="OTW1223" s="4"/>
      <c r="OTX1223" s="18"/>
      <c r="OTY1223" s="3"/>
      <c r="OTZ1223" s="4"/>
      <c r="OUA1223" s="4"/>
      <c r="OUB1223" s="18"/>
      <c r="OUC1223" s="3"/>
      <c r="OUD1223" s="4"/>
      <c r="OUE1223" s="4"/>
      <c r="OUF1223" s="18"/>
      <c r="OUG1223" s="3"/>
      <c r="OUH1223" s="4"/>
      <c r="OUI1223" s="4"/>
      <c r="OUJ1223" s="18"/>
      <c r="OUK1223" s="3"/>
      <c r="OUL1223" s="4"/>
      <c r="OUM1223" s="4"/>
      <c r="OUN1223" s="18"/>
      <c r="OUO1223" s="3"/>
      <c r="OUP1223" s="4"/>
      <c r="OUQ1223" s="4"/>
      <c r="OUR1223" s="18"/>
      <c r="OUS1223" s="3"/>
      <c r="OUT1223" s="4"/>
      <c r="OUU1223" s="4"/>
      <c r="OUV1223" s="18"/>
      <c r="OUW1223" s="3"/>
      <c r="OUX1223" s="4"/>
      <c r="OUY1223" s="4"/>
      <c r="OUZ1223" s="18"/>
      <c r="OVA1223" s="3"/>
      <c r="OVB1223" s="4"/>
      <c r="OVC1223" s="4"/>
      <c r="OVD1223" s="18"/>
      <c r="OVE1223" s="3"/>
      <c r="OVF1223" s="4"/>
      <c r="OVG1223" s="4"/>
      <c r="OVH1223" s="18"/>
      <c r="OVI1223" s="3"/>
      <c r="OVJ1223" s="4"/>
      <c r="OVK1223" s="4"/>
      <c r="OVL1223" s="18"/>
      <c r="OVM1223" s="3"/>
      <c r="OVN1223" s="4"/>
      <c r="OVO1223" s="4"/>
      <c r="OVP1223" s="18"/>
      <c r="OVQ1223" s="3"/>
      <c r="OVR1223" s="4"/>
      <c r="OVS1223" s="4"/>
      <c r="OVT1223" s="18"/>
      <c r="OVU1223" s="3"/>
      <c r="OVV1223" s="4"/>
      <c r="OVW1223" s="4"/>
      <c r="OVX1223" s="18"/>
      <c r="OVY1223" s="3"/>
      <c r="OVZ1223" s="4"/>
      <c r="OWA1223" s="4"/>
      <c r="OWB1223" s="18"/>
      <c r="OWC1223" s="3"/>
      <c r="OWD1223" s="4"/>
      <c r="OWE1223" s="4"/>
      <c r="OWF1223" s="18"/>
      <c r="OWG1223" s="3"/>
      <c r="OWH1223" s="4"/>
      <c r="OWI1223" s="4"/>
      <c r="OWJ1223" s="18"/>
      <c r="OWK1223" s="3"/>
      <c r="OWL1223" s="4"/>
      <c r="OWM1223" s="4"/>
      <c r="OWN1223" s="18"/>
      <c r="OWO1223" s="3"/>
      <c r="OWP1223" s="4"/>
      <c r="OWQ1223" s="4"/>
      <c r="OWR1223" s="18"/>
      <c r="OWS1223" s="3"/>
      <c r="OWT1223" s="4"/>
      <c r="OWU1223" s="4"/>
      <c r="OWV1223" s="18"/>
      <c r="OWW1223" s="3"/>
      <c r="OWX1223" s="4"/>
      <c r="OWY1223" s="4"/>
      <c r="OWZ1223" s="18"/>
      <c r="OXA1223" s="3"/>
      <c r="OXB1223" s="4"/>
      <c r="OXC1223" s="4"/>
      <c r="OXD1223" s="18"/>
      <c r="OXE1223" s="3"/>
      <c r="OXF1223" s="4"/>
      <c r="OXG1223" s="4"/>
      <c r="OXH1223" s="18"/>
      <c r="OXI1223" s="3"/>
      <c r="OXJ1223" s="4"/>
      <c r="OXK1223" s="4"/>
      <c r="OXL1223" s="18"/>
      <c r="OXM1223" s="3"/>
      <c r="OXN1223" s="4"/>
      <c r="OXO1223" s="4"/>
      <c r="OXP1223" s="18"/>
      <c r="OXQ1223" s="3"/>
      <c r="OXR1223" s="4"/>
      <c r="OXS1223" s="4"/>
      <c r="OXT1223" s="18"/>
      <c r="OXU1223" s="3"/>
      <c r="OXV1223" s="4"/>
      <c r="OXW1223" s="4"/>
      <c r="OXX1223" s="18"/>
      <c r="OXY1223" s="3"/>
      <c r="OXZ1223" s="4"/>
      <c r="OYA1223" s="4"/>
      <c r="OYB1223" s="18"/>
      <c r="OYC1223" s="3"/>
      <c r="OYD1223" s="4"/>
      <c r="OYE1223" s="4"/>
      <c r="OYF1223" s="18"/>
      <c r="OYG1223" s="3"/>
      <c r="OYH1223" s="4"/>
      <c r="OYI1223" s="4"/>
      <c r="OYJ1223" s="18"/>
      <c r="OYK1223" s="3"/>
      <c r="OYL1223" s="4"/>
      <c r="OYM1223" s="4"/>
      <c r="OYN1223" s="18"/>
      <c r="OYO1223" s="3"/>
      <c r="OYP1223" s="4"/>
      <c r="OYQ1223" s="4"/>
      <c r="OYR1223" s="18"/>
      <c r="OYS1223" s="3"/>
      <c r="OYT1223" s="4"/>
      <c r="OYU1223" s="4"/>
      <c r="OYV1223" s="18"/>
      <c r="OYW1223" s="3"/>
      <c r="OYX1223" s="4"/>
      <c r="OYY1223" s="4"/>
      <c r="OYZ1223" s="18"/>
      <c r="OZA1223" s="3"/>
      <c r="OZB1223" s="4"/>
      <c r="OZC1223" s="4"/>
      <c r="OZD1223" s="18"/>
      <c r="OZE1223" s="3"/>
      <c r="OZF1223" s="4"/>
      <c r="OZG1223" s="4"/>
      <c r="OZH1223" s="18"/>
      <c r="OZI1223" s="3"/>
      <c r="OZJ1223" s="4"/>
      <c r="OZK1223" s="4"/>
      <c r="OZL1223" s="18"/>
      <c r="OZM1223" s="3"/>
      <c r="OZN1223" s="4"/>
      <c r="OZO1223" s="4"/>
      <c r="OZP1223" s="18"/>
      <c r="OZQ1223" s="3"/>
      <c r="OZR1223" s="4"/>
      <c r="OZS1223" s="4"/>
      <c r="OZT1223" s="18"/>
      <c r="OZU1223" s="3"/>
      <c r="OZV1223" s="4"/>
      <c r="OZW1223" s="4"/>
      <c r="OZX1223" s="18"/>
      <c r="OZY1223" s="3"/>
      <c r="OZZ1223" s="4"/>
      <c r="PAA1223" s="4"/>
      <c r="PAB1223" s="18"/>
      <c r="PAC1223" s="3"/>
      <c r="PAD1223" s="4"/>
      <c r="PAE1223" s="4"/>
      <c r="PAF1223" s="18"/>
      <c r="PAG1223" s="3"/>
      <c r="PAH1223" s="4"/>
      <c r="PAI1223" s="4"/>
      <c r="PAJ1223" s="18"/>
      <c r="PAK1223" s="3"/>
      <c r="PAL1223" s="4"/>
      <c r="PAM1223" s="4"/>
      <c r="PAN1223" s="18"/>
      <c r="PAO1223" s="3"/>
      <c r="PAP1223" s="4"/>
      <c r="PAQ1223" s="4"/>
      <c r="PAR1223" s="18"/>
      <c r="PAS1223" s="3"/>
      <c r="PAT1223" s="4"/>
      <c r="PAU1223" s="4"/>
      <c r="PAV1223" s="18"/>
      <c r="PAW1223" s="3"/>
      <c r="PAX1223" s="4"/>
      <c r="PAY1223" s="4"/>
      <c r="PAZ1223" s="18"/>
      <c r="PBA1223" s="3"/>
      <c r="PBB1223" s="4"/>
      <c r="PBC1223" s="4"/>
      <c r="PBD1223" s="18"/>
      <c r="PBE1223" s="3"/>
      <c r="PBF1223" s="4"/>
      <c r="PBG1223" s="4"/>
      <c r="PBH1223" s="18"/>
      <c r="PBI1223" s="3"/>
      <c r="PBJ1223" s="4"/>
      <c r="PBK1223" s="4"/>
      <c r="PBL1223" s="18"/>
      <c r="PBM1223" s="3"/>
      <c r="PBN1223" s="4"/>
      <c r="PBO1223" s="4"/>
      <c r="PBP1223" s="18"/>
      <c r="PBQ1223" s="3"/>
      <c r="PBR1223" s="4"/>
      <c r="PBS1223" s="4"/>
      <c r="PBT1223" s="18"/>
      <c r="PBU1223" s="3"/>
      <c r="PBV1223" s="4"/>
      <c r="PBW1223" s="4"/>
      <c r="PBX1223" s="18"/>
      <c r="PBY1223" s="3"/>
      <c r="PBZ1223" s="4"/>
      <c r="PCA1223" s="4"/>
      <c r="PCB1223" s="18"/>
      <c r="PCC1223" s="3"/>
      <c r="PCD1223" s="4"/>
      <c r="PCE1223" s="4"/>
      <c r="PCF1223" s="18"/>
      <c r="PCG1223" s="3"/>
      <c r="PCH1223" s="4"/>
      <c r="PCI1223" s="4"/>
      <c r="PCJ1223" s="18"/>
      <c r="PCK1223" s="3"/>
      <c r="PCL1223" s="4"/>
      <c r="PCM1223" s="4"/>
      <c r="PCN1223" s="18"/>
      <c r="PCO1223" s="3"/>
      <c r="PCP1223" s="4"/>
      <c r="PCQ1223" s="4"/>
      <c r="PCR1223" s="18"/>
      <c r="PCS1223" s="3"/>
      <c r="PCT1223" s="4"/>
      <c r="PCU1223" s="4"/>
      <c r="PCV1223" s="18"/>
      <c r="PCW1223" s="3"/>
      <c r="PCX1223" s="4"/>
      <c r="PCY1223" s="4"/>
      <c r="PCZ1223" s="18"/>
      <c r="PDA1223" s="3"/>
      <c r="PDB1223" s="4"/>
      <c r="PDC1223" s="4"/>
      <c r="PDD1223" s="18"/>
      <c r="PDE1223" s="3"/>
      <c r="PDF1223" s="4"/>
      <c r="PDG1223" s="4"/>
      <c r="PDH1223" s="18"/>
      <c r="PDI1223" s="3"/>
      <c r="PDJ1223" s="4"/>
      <c r="PDK1223" s="4"/>
      <c r="PDL1223" s="18"/>
      <c r="PDM1223" s="3"/>
      <c r="PDN1223" s="4"/>
      <c r="PDO1223" s="4"/>
      <c r="PDP1223" s="18"/>
      <c r="PDQ1223" s="3"/>
      <c r="PDR1223" s="4"/>
      <c r="PDS1223" s="4"/>
      <c r="PDT1223" s="18"/>
      <c r="PDU1223" s="3"/>
      <c r="PDV1223" s="4"/>
      <c r="PDW1223" s="4"/>
      <c r="PDX1223" s="18"/>
      <c r="PDY1223" s="3"/>
      <c r="PDZ1223" s="4"/>
      <c r="PEA1223" s="4"/>
      <c r="PEB1223" s="18"/>
      <c r="PEC1223" s="3"/>
      <c r="PED1223" s="4"/>
      <c r="PEE1223" s="4"/>
      <c r="PEF1223" s="18"/>
      <c r="PEG1223" s="3"/>
      <c r="PEH1223" s="4"/>
      <c r="PEI1223" s="4"/>
      <c r="PEJ1223" s="18"/>
      <c r="PEK1223" s="3"/>
      <c r="PEL1223" s="4"/>
      <c r="PEM1223" s="4"/>
      <c r="PEN1223" s="18"/>
      <c r="PEO1223" s="3"/>
      <c r="PEP1223" s="4"/>
      <c r="PEQ1223" s="4"/>
      <c r="PER1223" s="18"/>
      <c r="PES1223" s="3"/>
      <c r="PET1223" s="4"/>
      <c r="PEU1223" s="4"/>
      <c r="PEV1223" s="18"/>
      <c r="PEW1223" s="3"/>
      <c r="PEX1223" s="4"/>
      <c r="PEY1223" s="4"/>
      <c r="PEZ1223" s="18"/>
      <c r="PFA1223" s="3"/>
      <c r="PFB1223" s="4"/>
      <c r="PFC1223" s="4"/>
      <c r="PFD1223" s="18"/>
      <c r="PFE1223" s="3"/>
      <c r="PFF1223" s="4"/>
      <c r="PFG1223" s="4"/>
      <c r="PFH1223" s="18"/>
      <c r="PFI1223" s="3"/>
      <c r="PFJ1223" s="4"/>
      <c r="PFK1223" s="4"/>
      <c r="PFL1223" s="18"/>
      <c r="PFM1223" s="3"/>
      <c r="PFN1223" s="4"/>
      <c r="PFO1223" s="4"/>
      <c r="PFP1223" s="18"/>
      <c r="PFQ1223" s="3"/>
      <c r="PFR1223" s="4"/>
      <c r="PFS1223" s="4"/>
      <c r="PFT1223" s="18"/>
      <c r="PFU1223" s="3"/>
      <c r="PFV1223" s="4"/>
      <c r="PFW1223" s="4"/>
      <c r="PFX1223" s="18"/>
      <c r="PFY1223" s="3"/>
      <c r="PFZ1223" s="4"/>
      <c r="PGA1223" s="4"/>
      <c r="PGB1223" s="18"/>
      <c r="PGC1223" s="3"/>
      <c r="PGD1223" s="4"/>
      <c r="PGE1223" s="4"/>
      <c r="PGF1223" s="18"/>
      <c r="PGG1223" s="3"/>
      <c r="PGH1223" s="4"/>
      <c r="PGI1223" s="4"/>
      <c r="PGJ1223" s="18"/>
      <c r="PGK1223" s="3"/>
      <c r="PGL1223" s="4"/>
      <c r="PGM1223" s="4"/>
      <c r="PGN1223" s="18"/>
      <c r="PGO1223" s="3"/>
      <c r="PGP1223" s="4"/>
      <c r="PGQ1223" s="4"/>
      <c r="PGR1223" s="18"/>
      <c r="PGS1223" s="3"/>
      <c r="PGT1223" s="4"/>
      <c r="PGU1223" s="4"/>
      <c r="PGV1223" s="18"/>
      <c r="PGW1223" s="3"/>
      <c r="PGX1223" s="4"/>
      <c r="PGY1223" s="4"/>
      <c r="PGZ1223" s="18"/>
      <c r="PHA1223" s="3"/>
      <c r="PHB1223" s="4"/>
      <c r="PHC1223" s="4"/>
      <c r="PHD1223" s="18"/>
      <c r="PHE1223" s="3"/>
      <c r="PHF1223" s="4"/>
      <c r="PHG1223" s="4"/>
      <c r="PHH1223" s="18"/>
      <c r="PHI1223" s="3"/>
      <c r="PHJ1223" s="4"/>
      <c r="PHK1223" s="4"/>
      <c r="PHL1223" s="18"/>
      <c r="PHM1223" s="3"/>
      <c r="PHN1223" s="4"/>
      <c r="PHO1223" s="4"/>
      <c r="PHP1223" s="18"/>
      <c r="PHQ1223" s="3"/>
      <c r="PHR1223" s="4"/>
      <c r="PHS1223" s="4"/>
      <c r="PHT1223" s="18"/>
      <c r="PHU1223" s="3"/>
      <c r="PHV1223" s="4"/>
      <c r="PHW1223" s="4"/>
      <c r="PHX1223" s="18"/>
      <c r="PHY1223" s="3"/>
      <c r="PHZ1223" s="4"/>
      <c r="PIA1223" s="4"/>
      <c r="PIB1223" s="18"/>
      <c r="PIC1223" s="3"/>
      <c r="PID1223" s="4"/>
      <c r="PIE1223" s="4"/>
      <c r="PIF1223" s="18"/>
      <c r="PIG1223" s="3"/>
      <c r="PIH1223" s="4"/>
      <c r="PII1223" s="4"/>
      <c r="PIJ1223" s="18"/>
      <c r="PIK1223" s="3"/>
      <c r="PIL1223" s="4"/>
      <c r="PIM1223" s="4"/>
      <c r="PIN1223" s="18"/>
      <c r="PIO1223" s="3"/>
      <c r="PIP1223" s="4"/>
      <c r="PIQ1223" s="4"/>
      <c r="PIR1223" s="18"/>
      <c r="PIS1223" s="3"/>
      <c r="PIT1223" s="4"/>
      <c r="PIU1223" s="4"/>
      <c r="PIV1223" s="18"/>
      <c r="PIW1223" s="3"/>
      <c r="PIX1223" s="4"/>
      <c r="PIY1223" s="4"/>
      <c r="PIZ1223" s="18"/>
      <c r="PJA1223" s="3"/>
      <c r="PJB1223" s="4"/>
      <c r="PJC1223" s="4"/>
      <c r="PJD1223" s="18"/>
      <c r="PJE1223" s="3"/>
      <c r="PJF1223" s="4"/>
      <c r="PJG1223" s="4"/>
      <c r="PJH1223" s="18"/>
      <c r="PJI1223" s="3"/>
      <c r="PJJ1223" s="4"/>
      <c r="PJK1223" s="4"/>
      <c r="PJL1223" s="18"/>
      <c r="PJM1223" s="3"/>
      <c r="PJN1223" s="4"/>
      <c r="PJO1223" s="4"/>
      <c r="PJP1223" s="18"/>
      <c r="PJQ1223" s="3"/>
      <c r="PJR1223" s="4"/>
      <c r="PJS1223" s="4"/>
      <c r="PJT1223" s="18"/>
      <c r="PJU1223" s="3"/>
      <c r="PJV1223" s="4"/>
      <c r="PJW1223" s="4"/>
      <c r="PJX1223" s="18"/>
      <c r="PJY1223" s="3"/>
      <c r="PJZ1223" s="4"/>
      <c r="PKA1223" s="4"/>
      <c r="PKB1223" s="18"/>
      <c r="PKC1223" s="3"/>
      <c r="PKD1223" s="4"/>
      <c r="PKE1223" s="4"/>
      <c r="PKF1223" s="18"/>
      <c r="PKG1223" s="3"/>
      <c r="PKH1223" s="4"/>
      <c r="PKI1223" s="4"/>
      <c r="PKJ1223" s="18"/>
      <c r="PKK1223" s="3"/>
      <c r="PKL1223" s="4"/>
      <c r="PKM1223" s="4"/>
      <c r="PKN1223" s="18"/>
      <c r="PKO1223" s="3"/>
      <c r="PKP1223" s="4"/>
      <c r="PKQ1223" s="4"/>
      <c r="PKR1223" s="18"/>
      <c r="PKS1223" s="3"/>
      <c r="PKT1223" s="4"/>
      <c r="PKU1223" s="4"/>
      <c r="PKV1223" s="18"/>
      <c r="PKW1223" s="3"/>
      <c r="PKX1223" s="4"/>
      <c r="PKY1223" s="4"/>
      <c r="PKZ1223" s="18"/>
      <c r="PLA1223" s="3"/>
      <c r="PLB1223" s="4"/>
      <c r="PLC1223" s="4"/>
      <c r="PLD1223" s="18"/>
      <c r="PLE1223" s="3"/>
      <c r="PLF1223" s="4"/>
      <c r="PLG1223" s="4"/>
      <c r="PLH1223" s="18"/>
      <c r="PLI1223" s="3"/>
      <c r="PLJ1223" s="4"/>
      <c r="PLK1223" s="4"/>
      <c r="PLL1223" s="18"/>
      <c r="PLM1223" s="3"/>
      <c r="PLN1223" s="4"/>
      <c r="PLO1223" s="4"/>
      <c r="PLP1223" s="18"/>
      <c r="PLQ1223" s="3"/>
      <c r="PLR1223" s="4"/>
      <c r="PLS1223" s="4"/>
      <c r="PLT1223" s="18"/>
      <c r="PLU1223" s="3"/>
      <c r="PLV1223" s="4"/>
      <c r="PLW1223" s="4"/>
      <c r="PLX1223" s="18"/>
      <c r="PLY1223" s="3"/>
      <c r="PLZ1223" s="4"/>
      <c r="PMA1223" s="4"/>
      <c r="PMB1223" s="18"/>
      <c r="PMC1223" s="3"/>
      <c r="PMD1223" s="4"/>
      <c r="PME1223" s="4"/>
      <c r="PMF1223" s="18"/>
      <c r="PMG1223" s="3"/>
      <c r="PMH1223" s="4"/>
      <c r="PMI1223" s="4"/>
      <c r="PMJ1223" s="18"/>
      <c r="PMK1223" s="3"/>
      <c r="PML1223" s="4"/>
      <c r="PMM1223" s="4"/>
      <c r="PMN1223" s="18"/>
      <c r="PMO1223" s="3"/>
      <c r="PMP1223" s="4"/>
      <c r="PMQ1223" s="4"/>
      <c r="PMR1223" s="18"/>
      <c r="PMS1223" s="3"/>
      <c r="PMT1223" s="4"/>
      <c r="PMU1223" s="4"/>
      <c r="PMV1223" s="18"/>
      <c r="PMW1223" s="3"/>
      <c r="PMX1223" s="4"/>
      <c r="PMY1223" s="4"/>
      <c r="PMZ1223" s="18"/>
      <c r="PNA1223" s="3"/>
      <c r="PNB1223" s="4"/>
      <c r="PNC1223" s="4"/>
      <c r="PND1223" s="18"/>
      <c r="PNE1223" s="3"/>
      <c r="PNF1223" s="4"/>
      <c r="PNG1223" s="4"/>
      <c r="PNH1223" s="18"/>
      <c r="PNI1223" s="3"/>
      <c r="PNJ1223" s="4"/>
      <c r="PNK1223" s="4"/>
      <c r="PNL1223" s="18"/>
      <c r="PNM1223" s="3"/>
      <c r="PNN1223" s="4"/>
      <c r="PNO1223" s="4"/>
      <c r="PNP1223" s="18"/>
      <c r="PNQ1223" s="3"/>
      <c r="PNR1223" s="4"/>
      <c r="PNS1223" s="4"/>
      <c r="PNT1223" s="18"/>
      <c r="PNU1223" s="3"/>
      <c r="PNV1223" s="4"/>
      <c r="PNW1223" s="4"/>
      <c r="PNX1223" s="18"/>
      <c r="PNY1223" s="3"/>
      <c r="PNZ1223" s="4"/>
      <c r="POA1223" s="4"/>
      <c r="POB1223" s="18"/>
      <c r="POC1223" s="3"/>
      <c r="POD1223" s="4"/>
      <c r="POE1223" s="4"/>
      <c r="POF1223" s="18"/>
      <c r="POG1223" s="3"/>
      <c r="POH1223" s="4"/>
      <c r="POI1223" s="4"/>
      <c r="POJ1223" s="18"/>
      <c r="POK1223" s="3"/>
      <c r="POL1223" s="4"/>
      <c r="POM1223" s="4"/>
      <c r="PON1223" s="18"/>
      <c r="POO1223" s="3"/>
      <c r="POP1223" s="4"/>
      <c r="POQ1223" s="4"/>
      <c r="POR1223" s="18"/>
      <c r="POS1223" s="3"/>
      <c r="POT1223" s="4"/>
      <c r="POU1223" s="4"/>
      <c r="POV1223" s="18"/>
      <c r="POW1223" s="3"/>
      <c r="POX1223" s="4"/>
      <c r="POY1223" s="4"/>
      <c r="POZ1223" s="18"/>
      <c r="PPA1223" s="3"/>
      <c r="PPB1223" s="4"/>
      <c r="PPC1223" s="4"/>
      <c r="PPD1223" s="18"/>
      <c r="PPE1223" s="3"/>
      <c r="PPF1223" s="4"/>
      <c r="PPG1223" s="4"/>
      <c r="PPH1223" s="18"/>
      <c r="PPI1223" s="3"/>
      <c r="PPJ1223" s="4"/>
      <c r="PPK1223" s="4"/>
      <c r="PPL1223" s="18"/>
      <c r="PPM1223" s="3"/>
      <c r="PPN1223" s="4"/>
      <c r="PPO1223" s="4"/>
      <c r="PPP1223" s="18"/>
      <c r="PPQ1223" s="3"/>
      <c r="PPR1223" s="4"/>
      <c r="PPS1223" s="4"/>
      <c r="PPT1223" s="18"/>
      <c r="PPU1223" s="3"/>
      <c r="PPV1223" s="4"/>
      <c r="PPW1223" s="4"/>
      <c r="PPX1223" s="18"/>
      <c r="PPY1223" s="3"/>
      <c r="PPZ1223" s="4"/>
      <c r="PQA1223" s="4"/>
      <c r="PQB1223" s="18"/>
      <c r="PQC1223" s="3"/>
      <c r="PQD1223" s="4"/>
      <c r="PQE1223" s="4"/>
      <c r="PQF1223" s="18"/>
      <c r="PQG1223" s="3"/>
      <c r="PQH1223" s="4"/>
      <c r="PQI1223" s="4"/>
      <c r="PQJ1223" s="18"/>
      <c r="PQK1223" s="3"/>
      <c r="PQL1223" s="4"/>
      <c r="PQM1223" s="4"/>
      <c r="PQN1223" s="18"/>
      <c r="PQO1223" s="3"/>
      <c r="PQP1223" s="4"/>
      <c r="PQQ1223" s="4"/>
      <c r="PQR1223" s="18"/>
      <c r="PQS1223" s="3"/>
      <c r="PQT1223" s="4"/>
      <c r="PQU1223" s="4"/>
      <c r="PQV1223" s="18"/>
      <c r="PQW1223" s="3"/>
      <c r="PQX1223" s="4"/>
      <c r="PQY1223" s="4"/>
      <c r="PQZ1223" s="18"/>
      <c r="PRA1223" s="3"/>
      <c r="PRB1223" s="4"/>
      <c r="PRC1223" s="4"/>
      <c r="PRD1223" s="18"/>
      <c r="PRE1223" s="3"/>
      <c r="PRF1223" s="4"/>
      <c r="PRG1223" s="4"/>
      <c r="PRH1223" s="18"/>
      <c r="PRI1223" s="3"/>
      <c r="PRJ1223" s="4"/>
      <c r="PRK1223" s="4"/>
      <c r="PRL1223" s="18"/>
      <c r="PRM1223" s="3"/>
      <c r="PRN1223" s="4"/>
      <c r="PRO1223" s="4"/>
      <c r="PRP1223" s="18"/>
      <c r="PRQ1223" s="3"/>
      <c r="PRR1223" s="4"/>
      <c r="PRS1223" s="4"/>
      <c r="PRT1223" s="18"/>
      <c r="PRU1223" s="3"/>
      <c r="PRV1223" s="4"/>
      <c r="PRW1223" s="4"/>
      <c r="PRX1223" s="18"/>
      <c r="PRY1223" s="3"/>
      <c r="PRZ1223" s="4"/>
      <c r="PSA1223" s="4"/>
      <c r="PSB1223" s="18"/>
      <c r="PSC1223" s="3"/>
      <c r="PSD1223" s="4"/>
      <c r="PSE1223" s="4"/>
      <c r="PSF1223" s="18"/>
      <c r="PSG1223" s="3"/>
      <c r="PSH1223" s="4"/>
      <c r="PSI1223" s="4"/>
      <c r="PSJ1223" s="18"/>
      <c r="PSK1223" s="3"/>
      <c r="PSL1223" s="4"/>
      <c r="PSM1223" s="4"/>
      <c r="PSN1223" s="18"/>
      <c r="PSO1223" s="3"/>
      <c r="PSP1223" s="4"/>
      <c r="PSQ1223" s="4"/>
      <c r="PSR1223" s="18"/>
      <c r="PSS1223" s="3"/>
      <c r="PST1223" s="4"/>
      <c r="PSU1223" s="4"/>
      <c r="PSV1223" s="18"/>
      <c r="PSW1223" s="3"/>
      <c r="PSX1223" s="4"/>
      <c r="PSY1223" s="4"/>
      <c r="PSZ1223" s="18"/>
      <c r="PTA1223" s="3"/>
      <c r="PTB1223" s="4"/>
      <c r="PTC1223" s="4"/>
      <c r="PTD1223" s="18"/>
      <c r="PTE1223" s="3"/>
      <c r="PTF1223" s="4"/>
      <c r="PTG1223" s="4"/>
      <c r="PTH1223" s="18"/>
      <c r="PTI1223" s="3"/>
      <c r="PTJ1223" s="4"/>
      <c r="PTK1223" s="4"/>
      <c r="PTL1223" s="18"/>
      <c r="PTM1223" s="3"/>
      <c r="PTN1223" s="4"/>
      <c r="PTO1223" s="4"/>
      <c r="PTP1223" s="18"/>
      <c r="PTQ1223" s="3"/>
      <c r="PTR1223" s="4"/>
      <c r="PTS1223" s="4"/>
      <c r="PTT1223" s="18"/>
      <c r="PTU1223" s="3"/>
      <c r="PTV1223" s="4"/>
      <c r="PTW1223" s="4"/>
      <c r="PTX1223" s="18"/>
      <c r="PTY1223" s="3"/>
      <c r="PTZ1223" s="4"/>
      <c r="PUA1223" s="4"/>
      <c r="PUB1223" s="18"/>
      <c r="PUC1223" s="3"/>
      <c r="PUD1223" s="4"/>
      <c r="PUE1223" s="4"/>
      <c r="PUF1223" s="18"/>
      <c r="PUG1223" s="3"/>
      <c r="PUH1223" s="4"/>
      <c r="PUI1223" s="4"/>
      <c r="PUJ1223" s="18"/>
      <c r="PUK1223" s="3"/>
      <c r="PUL1223" s="4"/>
      <c r="PUM1223" s="4"/>
      <c r="PUN1223" s="18"/>
      <c r="PUO1223" s="3"/>
      <c r="PUP1223" s="4"/>
      <c r="PUQ1223" s="4"/>
      <c r="PUR1223" s="18"/>
      <c r="PUS1223" s="3"/>
      <c r="PUT1223" s="4"/>
      <c r="PUU1223" s="4"/>
      <c r="PUV1223" s="18"/>
      <c r="PUW1223" s="3"/>
      <c r="PUX1223" s="4"/>
      <c r="PUY1223" s="4"/>
      <c r="PUZ1223" s="18"/>
      <c r="PVA1223" s="3"/>
      <c r="PVB1223" s="4"/>
      <c r="PVC1223" s="4"/>
      <c r="PVD1223" s="18"/>
      <c r="PVE1223" s="3"/>
      <c r="PVF1223" s="4"/>
      <c r="PVG1223" s="4"/>
      <c r="PVH1223" s="18"/>
      <c r="PVI1223" s="3"/>
      <c r="PVJ1223" s="4"/>
      <c r="PVK1223" s="4"/>
      <c r="PVL1223" s="18"/>
      <c r="PVM1223" s="3"/>
      <c r="PVN1223" s="4"/>
      <c r="PVO1223" s="4"/>
      <c r="PVP1223" s="18"/>
      <c r="PVQ1223" s="3"/>
      <c r="PVR1223" s="4"/>
      <c r="PVS1223" s="4"/>
      <c r="PVT1223" s="18"/>
      <c r="PVU1223" s="3"/>
      <c r="PVV1223" s="4"/>
      <c r="PVW1223" s="4"/>
      <c r="PVX1223" s="18"/>
      <c r="PVY1223" s="3"/>
      <c r="PVZ1223" s="4"/>
      <c r="PWA1223" s="4"/>
      <c r="PWB1223" s="18"/>
      <c r="PWC1223" s="3"/>
      <c r="PWD1223" s="4"/>
      <c r="PWE1223" s="4"/>
      <c r="PWF1223" s="18"/>
      <c r="PWG1223" s="3"/>
      <c r="PWH1223" s="4"/>
      <c r="PWI1223" s="4"/>
      <c r="PWJ1223" s="18"/>
      <c r="PWK1223" s="3"/>
      <c r="PWL1223" s="4"/>
      <c r="PWM1223" s="4"/>
      <c r="PWN1223" s="18"/>
      <c r="PWO1223" s="3"/>
      <c r="PWP1223" s="4"/>
      <c r="PWQ1223" s="4"/>
      <c r="PWR1223" s="18"/>
      <c r="PWS1223" s="3"/>
      <c r="PWT1223" s="4"/>
      <c r="PWU1223" s="4"/>
      <c r="PWV1223" s="18"/>
      <c r="PWW1223" s="3"/>
      <c r="PWX1223" s="4"/>
      <c r="PWY1223" s="4"/>
      <c r="PWZ1223" s="18"/>
      <c r="PXA1223" s="3"/>
      <c r="PXB1223" s="4"/>
      <c r="PXC1223" s="4"/>
      <c r="PXD1223" s="18"/>
      <c r="PXE1223" s="3"/>
      <c r="PXF1223" s="4"/>
      <c r="PXG1223" s="4"/>
      <c r="PXH1223" s="18"/>
      <c r="PXI1223" s="3"/>
      <c r="PXJ1223" s="4"/>
      <c r="PXK1223" s="4"/>
      <c r="PXL1223" s="18"/>
      <c r="PXM1223" s="3"/>
      <c r="PXN1223" s="4"/>
      <c r="PXO1223" s="4"/>
      <c r="PXP1223" s="18"/>
      <c r="PXQ1223" s="3"/>
      <c r="PXR1223" s="4"/>
      <c r="PXS1223" s="4"/>
      <c r="PXT1223" s="18"/>
      <c r="PXU1223" s="3"/>
      <c r="PXV1223" s="4"/>
      <c r="PXW1223" s="4"/>
      <c r="PXX1223" s="18"/>
      <c r="PXY1223" s="3"/>
      <c r="PXZ1223" s="4"/>
      <c r="PYA1223" s="4"/>
      <c r="PYB1223" s="18"/>
      <c r="PYC1223" s="3"/>
      <c r="PYD1223" s="4"/>
      <c r="PYE1223" s="4"/>
      <c r="PYF1223" s="18"/>
      <c r="PYG1223" s="3"/>
      <c r="PYH1223" s="4"/>
      <c r="PYI1223" s="4"/>
      <c r="PYJ1223" s="18"/>
      <c r="PYK1223" s="3"/>
      <c r="PYL1223" s="4"/>
      <c r="PYM1223" s="4"/>
      <c r="PYN1223" s="18"/>
      <c r="PYO1223" s="3"/>
      <c r="PYP1223" s="4"/>
      <c r="PYQ1223" s="4"/>
      <c r="PYR1223" s="18"/>
      <c r="PYS1223" s="3"/>
      <c r="PYT1223" s="4"/>
      <c r="PYU1223" s="4"/>
      <c r="PYV1223" s="18"/>
      <c r="PYW1223" s="3"/>
      <c r="PYX1223" s="4"/>
      <c r="PYY1223" s="4"/>
      <c r="PYZ1223" s="18"/>
      <c r="PZA1223" s="3"/>
      <c r="PZB1223" s="4"/>
      <c r="PZC1223" s="4"/>
      <c r="PZD1223" s="18"/>
      <c r="PZE1223" s="3"/>
      <c r="PZF1223" s="4"/>
      <c r="PZG1223" s="4"/>
      <c r="PZH1223" s="18"/>
      <c r="PZI1223" s="3"/>
      <c r="PZJ1223" s="4"/>
      <c r="PZK1223" s="4"/>
      <c r="PZL1223" s="18"/>
      <c r="PZM1223" s="3"/>
      <c r="PZN1223" s="4"/>
      <c r="PZO1223" s="4"/>
      <c r="PZP1223" s="18"/>
      <c r="PZQ1223" s="3"/>
      <c r="PZR1223" s="4"/>
      <c r="PZS1223" s="4"/>
      <c r="PZT1223" s="18"/>
      <c r="PZU1223" s="3"/>
      <c r="PZV1223" s="4"/>
      <c r="PZW1223" s="4"/>
      <c r="PZX1223" s="18"/>
      <c r="PZY1223" s="3"/>
      <c r="PZZ1223" s="4"/>
      <c r="QAA1223" s="4"/>
      <c r="QAB1223" s="18"/>
      <c r="QAC1223" s="3"/>
      <c r="QAD1223" s="4"/>
      <c r="QAE1223" s="4"/>
      <c r="QAF1223" s="18"/>
      <c r="QAG1223" s="3"/>
      <c r="QAH1223" s="4"/>
      <c r="QAI1223" s="4"/>
      <c r="QAJ1223" s="18"/>
      <c r="QAK1223" s="3"/>
      <c r="QAL1223" s="4"/>
      <c r="QAM1223" s="4"/>
      <c r="QAN1223" s="18"/>
      <c r="QAO1223" s="3"/>
      <c r="QAP1223" s="4"/>
      <c r="QAQ1223" s="4"/>
      <c r="QAR1223" s="18"/>
      <c r="QAS1223" s="3"/>
      <c r="QAT1223" s="4"/>
      <c r="QAU1223" s="4"/>
      <c r="QAV1223" s="18"/>
      <c r="QAW1223" s="3"/>
      <c r="QAX1223" s="4"/>
      <c r="QAY1223" s="4"/>
      <c r="QAZ1223" s="18"/>
      <c r="QBA1223" s="3"/>
      <c r="QBB1223" s="4"/>
      <c r="QBC1223" s="4"/>
      <c r="QBD1223" s="18"/>
      <c r="QBE1223" s="3"/>
      <c r="QBF1223" s="4"/>
      <c r="QBG1223" s="4"/>
      <c r="QBH1223" s="18"/>
      <c r="QBI1223" s="3"/>
      <c r="QBJ1223" s="4"/>
      <c r="QBK1223" s="4"/>
      <c r="QBL1223" s="18"/>
      <c r="QBM1223" s="3"/>
      <c r="QBN1223" s="4"/>
      <c r="QBO1223" s="4"/>
      <c r="QBP1223" s="18"/>
      <c r="QBQ1223" s="3"/>
      <c r="QBR1223" s="4"/>
      <c r="QBS1223" s="4"/>
      <c r="QBT1223" s="18"/>
      <c r="QBU1223" s="3"/>
      <c r="QBV1223" s="4"/>
      <c r="QBW1223" s="4"/>
      <c r="QBX1223" s="18"/>
      <c r="QBY1223" s="3"/>
      <c r="QBZ1223" s="4"/>
      <c r="QCA1223" s="4"/>
      <c r="QCB1223" s="18"/>
      <c r="QCC1223" s="3"/>
      <c r="QCD1223" s="4"/>
      <c r="QCE1223" s="4"/>
      <c r="QCF1223" s="18"/>
      <c r="QCG1223" s="3"/>
      <c r="QCH1223" s="4"/>
      <c r="QCI1223" s="4"/>
      <c r="QCJ1223" s="18"/>
      <c r="QCK1223" s="3"/>
      <c r="QCL1223" s="4"/>
      <c r="QCM1223" s="4"/>
      <c r="QCN1223" s="18"/>
      <c r="QCO1223" s="3"/>
      <c r="QCP1223" s="4"/>
      <c r="QCQ1223" s="4"/>
      <c r="QCR1223" s="18"/>
      <c r="QCS1223" s="3"/>
      <c r="QCT1223" s="4"/>
      <c r="QCU1223" s="4"/>
      <c r="QCV1223" s="18"/>
      <c r="QCW1223" s="3"/>
      <c r="QCX1223" s="4"/>
      <c r="QCY1223" s="4"/>
      <c r="QCZ1223" s="18"/>
      <c r="QDA1223" s="3"/>
      <c r="QDB1223" s="4"/>
      <c r="QDC1223" s="4"/>
      <c r="QDD1223" s="18"/>
      <c r="QDE1223" s="3"/>
      <c r="QDF1223" s="4"/>
      <c r="QDG1223" s="4"/>
      <c r="QDH1223" s="18"/>
      <c r="QDI1223" s="3"/>
      <c r="QDJ1223" s="4"/>
      <c r="QDK1223" s="4"/>
      <c r="QDL1223" s="18"/>
      <c r="QDM1223" s="3"/>
      <c r="QDN1223" s="4"/>
      <c r="QDO1223" s="4"/>
      <c r="QDP1223" s="18"/>
      <c r="QDQ1223" s="3"/>
      <c r="QDR1223" s="4"/>
      <c r="QDS1223" s="4"/>
      <c r="QDT1223" s="18"/>
      <c r="QDU1223" s="3"/>
      <c r="QDV1223" s="4"/>
      <c r="QDW1223" s="4"/>
      <c r="QDX1223" s="18"/>
      <c r="QDY1223" s="3"/>
      <c r="QDZ1223" s="4"/>
      <c r="QEA1223" s="4"/>
      <c r="QEB1223" s="18"/>
      <c r="QEC1223" s="3"/>
      <c r="QED1223" s="4"/>
      <c r="QEE1223" s="4"/>
      <c r="QEF1223" s="18"/>
      <c r="QEG1223" s="3"/>
      <c r="QEH1223" s="4"/>
      <c r="QEI1223" s="4"/>
      <c r="QEJ1223" s="18"/>
      <c r="QEK1223" s="3"/>
      <c r="QEL1223" s="4"/>
      <c r="QEM1223" s="4"/>
      <c r="QEN1223" s="18"/>
      <c r="QEO1223" s="3"/>
      <c r="QEP1223" s="4"/>
      <c r="QEQ1223" s="4"/>
      <c r="QER1223" s="18"/>
      <c r="QES1223" s="3"/>
      <c r="QET1223" s="4"/>
      <c r="QEU1223" s="4"/>
      <c r="QEV1223" s="18"/>
      <c r="QEW1223" s="3"/>
      <c r="QEX1223" s="4"/>
      <c r="QEY1223" s="4"/>
      <c r="QEZ1223" s="18"/>
      <c r="QFA1223" s="3"/>
      <c r="QFB1223" s="4"/>
      <c r="QFC1223" s="4"/>
      <c r="QFD1223" s="18"/>
      <c r="QFE1223" s="3"/>
      <c r="QFF1223" s="4"/>
      <c r="QFG1223" s="4"/>
      <c r="QFH1223" s="18"/>
      <c r="QFI1223" s="3"/>
      <c r="QFJ1223" s="4"/>
      <c r="QFK1223" s="4"/>
      <c r="QFL1223" s="18"/>
      <c r="QFM1223" s="3"/>
      <c r="QFN1223" s="4"/>
      <c r="QFO1223" s="4"/>
      <c r="QFP1223" s="18"/>
      <c r="QFQ1223" s="3"/>
      <c r="QFR1223" s="4"/>
      <c r="QFS1223" s="4"/>
      <c r="QFT1223" s="18"/>
      <c r="QFU1223" s="3"/>
      <c r="QFV1223" s="4"/>
      <c r="QFW1223" s="4"/>
      <c r="QFX1223" s="18"/>
      <c r="QFY1223" s="3"/>
      <c r="QFZ1223" s="4"/>
      <c r="QGA1223" s="4"/>
      <c r="QGB1223" s="18"/>
      <c r="QGC1223" s="3"/>
      <c r="QGD1223" s="4"/>
      <c r="QGE1223" s="4"/>
      <c r="QGF1223" s="18"/>
      <c r="QGG1223" s="3"/>
      <c r="QGH1223" s="4"/>
      <c r="QGI1223" s="4"/>
      <c r="QGJ1223" s="18"/>
      <c r="QGK1223" s="3"/>
      <c r="QGL1223" s="4"/>
      <c r="QGM1223" s="4"/>
      <c r="QGN1223" s="18"/>
      <c r="QGO1223" s="3"/>
      <c r="QGP1223" s="4"/>
      <c r="QGQ1223" s="4"/>
      <c r="QGR1223" s="18"/>
      <c r="QGS1223" s="3"/>
      <c r="QGT1223" s="4"/>
      <c r="QGU1223" s="4"/>
      <c r="QGV1223" s="18"/>
      <c r="QGW1223" s="3"/>
      <c r="QGX1223" s="4"/>
      <c r="QGY1223" s="4"/>
      <c r="QGZ1223" s="18"/>
      <c r="QHA1223" s="3"/>
      <c r="QHB1223" s="4"/>
      <c r="QHC1223" s="4"/>
      <c r="QHD1223" s="18"/>
      <c r="QHE1223" s="3"/>
      <c r="QHF1223" s="4"/>
      <c r="QHG1223" s="4"/>
      <c r="QHH1223" s="18"/>
      <c r="QHI1223" s="3"/>
      <c r="QHJ1223" s="4"/>
      <c r="QHK1223" s="4"/>
      <c r="QHL1223" s="18"/>
      <c r="QHM1223" s="3"/>
      <c r="QHN1223" s="4"/>
      <c r="QHO1223" s="4"/>
      <c r="QHP1223" s="18"/>
      <c r="QHQ1223" s="3"/>
      <c r="QHR1223" s="4"/>
      <c r="QHS1223" s="4"/>
      <c r="QHT1223" s="18"/>
      <c r="QHU1223" s="3"/>
      <c r="QHV1223" s="4"/>
      <c r="QHW1223" s="4"/>
      <c r="QHX1223" s="18"/>
      <c r="QHY1223" s="3"/>
      <c r="QHZ1223" s="4"/>
      <c r="QIA1223" s="4"/>
      <c r="QIB1223" s="18"/>
      <c r="QIC1223" s="3"/>
      <c r="QID1223" s="4"/>
      <c r="QIE1223" s="4"/>
      <c r="QIF1223" s="18"/>
      <c r="QIG1223" s="3"/>
      <c r="QIH1223" s="4"/>
      <c r="QII1223" s="4"/>
      <c r="QIJ1223" s="18"/>
      <c r="QIK1223" s="3"/>
      <c r="QIL1223" s="4"/>
      <c r="QIM1223" s="4"/>
      <c r="QIN1223" s="18"/>
      <c r="QIO1223" s="3"/>
      <c r="QIP1223" s="4"/>
      <c r="QIQ1223" s="4"/>
      <c r="QIR1223" s="18"/>
      <c r="QIS1223" s="3"/>
      <c r="QIT1223" s="4"/>
      <c r="QIU1223" s="4"/>
      <c r="QIV1223" s="18"/>
      <c r="QIW1223" s="3"/>
      <c r="QIX1223" s="4"/>
      <c r="QIY1223" s="4"/>
      <c r="QIZ1223" s="18"/>
      <c r="QJA1223" s="3"/>
      <c r="QJB1223" s="4"/>
      <c r="QJC1223" s="4"/>
      <c r="QJD1223" s="18"/>
      <c r="QJE1223" s="3"/>
      <c r="QJF1223" s="4"/>
      <c r="QJG1223" s="4"/>
      <c r="QJH1223" s="18"/>
      <c r="QJI1223" s="3"/>
      <c r="QJJ1223" s="4"/>
      <c r="QJK1223" s="4"/>
      <c r="QJL1223" s="18"/>
      <c r="QJM1223" s="3"/>
      <c r="QJN1223" s="4"/>
      <c r="QJO1223" s="4"/>
      <c r="QJP1223" s="18"/>
      <c r="QJQ1223" s="3"/>
      <c r="QJR1223" s="4"/>
      <c r="QJS1223" s="4"/>
      <c r="QJT1223" s="18"/>
      <c r="QJU1223" s="3"/>
      <c r="QJV1223" s="4"/>
      <c r="QJW1223" s="4"/>
      <c r="QJX1223" s="18"/>
      <c r="QJY1223" s="3"/>
      <c r="QJZ1223" s="4"/>
      <c r="QKA1223" s="4"/>
      <c r="QKB1223" s="18"/>
      <c r="QKC1223" s="3"/>
      <c r="QKD1223" s="4"/>
      <c r="QKE1223" s="4"/>
      <c r="QKF1223" s="18"/>
      <c r="QKG1223" s="3"/>
      <c r="QKH1223" s="4"/>
      <c r="QKI1223" s="4"/>
      <c r="QKJ1223" s="18"/>
      <c r="QKK1223" s="3"/>
      <c r="QKL1223" s="4"/>
      <c r="QKM1223" s="4"/>
      <c r="QKN1223" s="18"/>
      <c r="QKO1223" s="3"/>
      <c r="QKP1223" s="4"/>
      <c r="QKQ1223" s="4"/>
      <c r="QKR1223" s="18"/>
      <c r="QKS1223" s="3"/>
      <c r="QKT1223" s="4"/>
      <c r="QKU1223" s="4"/>
      <c r="QKV1223" s="18"/>
      <c r="QKW1223" s="3"/>
      <c r="QKX1223" s="4"/>
      <c r="QKY1223" s="4"/>
      <c r="QKZ1223" s="18"/>
      <c r="QLA1223" s="3"/>
      <c r="QLB1223" s="4"/>
      <c r="QLC1223" s="4"/>
      <c r="QLD1223" s="18"/>
      <c r="QLE1223" s="3"/>
      <c r="QLF1223" s="4"/>
      <c r="QLG1223" s="4"/>
      <c r="QLH1223" s="18"/>
      <c r="QLI1223" s="3"/>
      <c r="QLJ1223" s="4"/>
      <c r="QLK1223" s="4"/>
      <c r="QLL1223" s="18"/>
      <c r="QLM1223" s="3"/>
      <c r="QLN1223" s="4"/>
      <c r="QLO1223" s="4"/>
      <c r="QLP1223" s="18"/>
      <c r="QLQ1223" s="3"/>
      <c r="QLR1223" s="4"/>
      <c r="QLS1223" s="4"/>
      <c r="QLT1223" s="18"/>
      <c r="QLU1223" s="3"/>
      <c r="QLV1223" s="4"/>
      <c r="QLW1223" s="4"/>
      <c r="QLX1223" s="18"/>
      <c r="QLY1223" s="3"/>
      <c r="QLZ1223" s="4"/>
      <c r="QMA1223" s="4"/>
      <c r="QMB1223" s="18"/>
      <c r="QMC1223" s="3"/>
      <c r="QMD1223" s="4"/>
      <c r="QME1223" s="4"/>
      <c r="QMF1223" s="18"/>
      <c r="QMG1223" s="3"/>
      <c r="QMH1223" s="4"/>
      <c r="QMI1223" s="4"/>
      <c r="QMJ1223" s="18"/>
      <c r="QMK1223" s="3"/>
      <c r="QML1223" s="4"/>
      <c r="QMM1223" s="4"/>
      <c r="QMN1223" s="18"/>
      <c r="QMO1223" s="3"/>
      <c r="QMP1223" s="4"/>
      <c r="QMQ1223" s="4"/>
      <c r="QMR1223" s="18"/>
      <c r="QMS1223" s="3"/>
      <c r="QMT1223" s="4"/>
      <c r="QMU1223" s="4"/>
      <c r="QMV1223" s="18"/>
      <c r="QMW1223" s="3"/>
      <c r="QMX1223" s="4"/>
      <c r="QMY1223" s="4"/>
      <c r="QMZ1223" s="18"/>
      <c r="QNA1223" s="3"/>
      <c r="QNB1223" s="4"/>
      <c r="QNC1223" s="4"/>
      <c r="QND1223" s="18"/>
      <c r="QNE1223" s="3"/>
      <c r="QNF1223" s="4"/>
      <c r="QNG1223" s="4"/>
      <c r="QNH1223" s="18"/>
      <c r="QNI1223" s="3"/>
      <c r="QNJ1223" s="4"/>
      <c r="QNK1223" s="4"/>
      <c r="QNL1223" s="18"/>
      <c r="QNM1223" s="3"/>
      <c r="QNN1223" s="4"/>
      <c r="QNO1223" s="4"/>
      <c r="QNP1223" s="18"/>
      <c r="QNQ1223" s="3"/>
      <c r="QNR1223" s="4"/>
      <c r="QNS1223" s="4"/>
      <c r="QNT1223" s="18"/>
      <c r="QNU1223" s="3"/>
      <c r="QNV1223" s="4"/>
      <c r="QNW1223" s="4"/>
      <c r="QNX1223" s="18"/>
      <c r="QNY1223" s="3"/>
      <c r="QNZ1223" s="4"/>
      <c r="QOA1223" s="4"/>
      <c r="QOB1223" s="18"/>
      <c r="QOC1223" s="3"/>
      <c r="QOD1223" s="4"/>
      <c r="QOE1223" s="4"/>
      <c r="QOF1223" s="18"/>
      <c r="QOG1223" s="3"/>
      <c r="QOH1223" s="4"/>
      <c r="QOI1223" s="4"/>
      <c r="QOJ1223" s="18"/>
      <c r="QOK1223" s="3"/>
      <c r="QOL1223" s="4"/>
      <c r="QOM1223" s="4"/>
      <c r="QON1223" s="18"/>
      <c r="QOO1223" s="3"/>
      <c r="QOP1223" s="4"/>
      <c r="QOQ1223" s="4"/>
      <c r="QOR1223" s="18"/>
      <c r="QOS1223" s="3"/>
      <c r="QOT1223" s="4"/>
      <c r="QOU1223" s="4"/>
      <c r="QOV1223" s="18"/>
      <c r="QOW1223" s="3"/>
      <c r="QOX1223" s="4"/>
      <c r="QOY1223" s="4"/>
      <c r="QOZ1223" s="18"/>
      <c r="QPA1223" s="3"/>
      <c r="QPB1223" s="4"/>
      <c r="QPC1223" s="4"/>
      <c r="QPD1223" s="18"/>
      <c r="QPE1223" s="3"/>
      <c r="QPF1223" s="4"/>
      <c r="QPG1223" s="4"/>
      <c r="QPH1223" s="18"/>
      <c r="QPI1223" s="3"/>
      <c r="QPJ1223" s="4"/>
      <c r="QPK1223" s="4"/>
      <c r="QPL1223" s="18"/>
      <c r="QPM1223" s="3"/>
      <c r="QPN1223" s="4"/>
      <c r="QPO1223" s="4"/>
      <c r="QPP1223" s="18"/>
      <c r="QPQ1223" s="3"/>
      <c r="QPR1223" s="4"/>
      <c r="QPS1223" s="4"/>
      <c r="QPT1223" s="18"/>
      <c r="QPU1223" s="3"/>
      <c r="QPV1223" s="4"/>
      <c r="QPW1223" s="4"/>
      <c r="QPX1223" s="18"/>
      <c r="QPY1223" s="3"/>
      <c r="QPZ1223" s="4"/>
      <c r="QQA1223" s="4"/>
      <c r="QQB1223" s="18"/>
      <c r="QQC1223" s="3"/>
      <c r="QQD1223" s="4"/>
      <c r="QQE1223" s="4"/>
      <c r="QQF1223" s="18"/>
      <c r="QQG1223" s="3"/>
      <c r="QQH1223" s="4"/>
      <c r="QQI1223" s="4"/>
      <c r="QQJ1223" s="18"/>
      <c r="QQK1223" s="3"/>
      <c r="QQL1223" s="4"/>
      <c r="QQM1223" s="4"/>
      <c r="QQN1223" s="18"/>
      <c r="QQO1223" s="3"/>
      <c r="QQP1223" s="4"/>
      <c r="QQQ1223" s="4"/>
      <c r="QQR1223" s="18"/>
      <c r="QQS1223" s="3"/>
      <c r="QQT1223" s="4"/>
      <c r="QQU1223" s="4"/>
      <c r="QQV1223" s="18"/>
      <c r="QQW1223" s="3"/>
      <c r="QQX1223" s="4"/>
      <c r="QQY1223" s="4"/>
      <c r="QQZ1223" s="18"/>
      <c r="QRA1223" s="3"/>
      <c r="QRB1223" s="4"/>
      <c r="QRC1223" s="4"/>
      <c r="QRD1223" s="18"/>
      <c r="QRE1223" s="3"/>
      <c r="QRF1223" s="4"/>
      <c r="QRG1223" s="4"/>
      <c r="QRH1223" s="18"/>
      <c r="QRI1223" s="3"/>
      <c r="QRJ1223" s="4"/>
      <c r="QRK1223" s="4"/>
      <c r="QRL1223" s="18"/>
      <c r="QRM1223" s="3"/>
      <c r="QRN1223" s="4"/>
      <c r="QRO1223" s="4"/>
      <c r="QRP1223" s="18"/>
      <c r="QRQ1223" s="3"/>
      <c r="QRR1223" s="4"/>
      <c r="QRS1223" s="4"/>
      <c r="QRT1223" s="18"/>
      <c r="QRU1223" s="3"/>
      <c r="QRV1223" s="4"/>
      <c r="QRW1223" s="4"/>
      <c r="QRX1223" s="18"/>
      <c r="QRY1223" s="3"/>
      <c r="QRZ1223" s="4"/>
      <c r="QSA1223" s="4"/>
      <c r="QSB1223" s="18"/>
      <c r="QSC1223" s="3"/>
      <c r="QSD1223" s="4"/>
      <c r="QSE1223" s="4"/>
      <c r="QSF1223" s="18"/>
      <c r="QSG1223" s="3"/>
      <c r="QSH1223" s="4"/>
      <c r="QSI1223" s="4"/>
      <c r="QSJ1223" s="18"/>
      <c r="QSK1223" s="3"/>
      <c r="QSL1223" s="4"/>
      <c r="QSM1223" s="4"/>
      <c r="QSN1223" s="18"/>
      <c r="QSO1223" s="3"/>
      <c r="QSP1223" s="4"/>
      <c r="QSQ1223" s="4"/>
      <c r="QSR1223" s="18"/>
      <c r="QSS1223" s="3"/>
      <c r="QST1223" s="4"/>
      <c r="QSU1223" s="4"/>
      <c r="QSV1223" s="18"/>
      <c r="QSW1223" s="3"/>
      <c r="QSX1223" s="4"/>
      <c r="QSY1223" s="4"/>
      <c r="QSZ1223" s="18"/>
      <c r="QTA1223" s="3"/>
      <c r="QTB1223" s="4"/>
      <c r="QTC1223" s="4"/>
      <c r="QTD1223" s="18"/>
      <c r="QTE1223" s="3"/>
      <c r="QTF1223" s="4"/>
      <c r="QTG1223" s="4"/>
      <c r="QTH1223" s="18"/>
      <c r="QTI1223" s="3"/>
      <c r="QTJ1223" s="4"/>
      <c r="QTK1223" s="4"/>
      <c r="QTL1223" s="18"/>
      <c r="QTM1223" s="3"/>
      <c r="QTN1223" s="4"/>
      <c r="QTO1223" s="4"/>
      <c r="QTP1223" s="18"/>
      <c r="QTQ1223" s="3"/>
      <c r="QTR1223" s="4"/>
      <c r="QTS1223" s="4"/>
      <c r="QTT1223" s="18"/>
      <c r="QTU1223" s="3"/>
      <c r="QTV1223" s="4"/>
      <c r="QTW1223" s="4"/>
      <c r="QTX1223" s="18"/>
      <c r="QTY1223" s="3"/>
      <c r="QTZ1223" s="4"/>
      <c r="QUA1223" s="4"/>
      <c r="QUB1223" s="18"/>
      <c r="QUC1223" s="3"/>
      <c r="QUD1223" s="4"/>
      <c r="QUE1223" s="4"/>
      <c r="QUF1223" s="18"/>
      <c r="QUG1223" s="3"/>
      <c r="QUH1223" s="4"/>
      <c r="QUI1223" s="4"/>
      <c r="QUJ1223" s="18"/>
      <c r="QUK1223" s="3"/>
      <c r="QUL1223" s="4"/>
      <c r="QUM1223" s="4"/>
      <c r="QUN1223" s="18"/>
      <c r="QUO1223" s="3"/>
      <c r="QUP1223" s="4"/>
      <c r="QUQ1223" s="4"/>
      <c r="QUR1223" s="18"/>
      <c r="QUS1223" s="3"/>
      <c r="QUT1223" s="4"/>
      <c r="QUU1223" s="4"/>
      <c r="QUV1223" s="18"/>
      <c r="QUW1223" s="3"/>
      <c r="QUX1223" s="4"/>
      <c r="QUY1223" s="4"/>
      <c r="QUZ1223" s="18"/>
      <c r="QVA1223" s="3"/>
      <c r="QVB1223" s="4"/>
      <c r="QVC1223" s="4"/>
      <c r="QVD1223" s="18"/>
      <c r="QVE1223" s="3"/>
      <c r="QVF1223" s="4"/>
      <c r="QVG1223" s="4"/>
      <c r="QVH1223" s="18"/>
      <c r="QVI1223" s="3"/>
      <c r="QVJ1223" s="4"/>
      <c r="QVK1223" s="4"/>
      <c r="QVL1223" s="18"/>
      <c r="QVM1223" s="3"/>
      <c r="QVN1223" s="4"/>
      <c r="QVO1223" s="4"/>
      <c r="QVP1223" s="18"/>
      <c r="QVQ1223" s="3"/>
      <c r="QVR1223" s="4"/>
      <c r="QVS1223" s="4"/>
      <c r="QVT1223" s="18"/>
      <c r="QVU1223" s="3"/>
      <c r="QVV1223" s="4"/>
      <c r="QVW1223" s="4"/>
      <c r="QVX1223" s="18"/>
      <c r="QVY1223" s="3"/>
      <c r="QVZ1223" s="4"/>
      <c r="QWA1223" s="4"/>
      <c r="QWB1223" s="18"/>
      <c r="QWC1223" s="3"/>
      <c r="QWD1223" s="4"/>
      <c r="QWE1223" s="4"/>
      <c r="QWF1223" s="18"/>
      <c r="QWG1223" s="3"/>
      <c r="QWH1223" s="4"/>
      <c r="QWI1223" s="4"/>
      <c r="QWJ1223" s="18"/>
      <c r="QWK1223" s="3"/>
      <c r="QWL1223" s="4"/>
      <c r="QWM1223" s="4"/>
      <c r="QWN1223" s="18"/>
      <c r="QWO1223" s="3"/>
      <c r="QWP1223" s="4"/>
      <c r="QWQ1223" s="4"/>
      <c r="QWR1223" s="18"/>
      <c r="QWS1223" s="3"/>
      <c r="QWT1223" s="4"/>
      <c r="QWU1223" s="4"/>
      <c r="QWV1223" s="18"/>
      <c r="QWW1223" s="3"/>
      <c r="QWX1223" s="4"/>
      <c r="QWY1223" s="4"/>
      <c r="QWZ1223" s="18"/>
      <c r="QXA1223" s="3"/>
      <c r="QXB1223" s="4"/>
      <c r="QXC1223" s="4"/>
      <c r="QXD1223" s="18"/>
      <c r="QXE1223" s="3"/>
      <c r="QXF1223" s="4"/>
      <c r="QXG1223" s="4"/>
      <c r="QXH1223" s="18"/>
      <c r="QXI1223" s="3"/>
      <c r="QXJ1223" s="4"/>
      <c r="QXK1223" s="4"/>
      <c r="QXL1223" s="18"/>
      <c r="QXM1223" s="3"/>
      <c r="QXN1223" s="4"/>
      <c r="QXO1223" s="4"/>
      <c r="QXP1223" s="18"/>
      <c r="QXQ1223" s="3"/>
      <c r="QXR1223" s="4"/>
      <c r="QXS1223" s="4"/>
      <c r="QXT1223" s="18"/>
      <c r="QXU1223" s="3"/>
      <c r="QXV1223" s="4"/>
      <c r="QXW1223" s="4"/>
      <c r="QXX1223" s="18"/>
      <c r="QXY1223" s="3"/>
      <c r="QXZ1223" s="4"/>
      <c r="QYA1223" s="4"/>
      <c r="QYB1223" s="18"/>
      <c r="QYC1223" s="3"/>
      <c r="QYD1223" s="4"/>
      <c r="QYE1223" s="4"/>
      <c r="QYF1223" s="18"/>
      <c r="QYG1223" s="3"/>
      <c r="QYH1223" s="4"/>
      <c r="QYI1223" s="4"/>
      <c r="QYJ1223" s="18"/>
      <c r="QYK1223" s="3"/>
      <c r="QYL1223" s="4"/>
      <c r="QYM1223" s="4"/>
      <c r="QYN1223" s="18"/>
      <c r="QYO1223" s="3"/>
      <c r="QYP1223" s="4"/>
      <c r="QYQ1223" s="4"/>
      <c r="QYR1223" s="18"/>
      <c r="QYS1223" s="3"/>
      <c r="QYT1223" s="4"/>
      <c r="QYU1223" s="4"/>
      <c r="QYV1223" s="18"/>
      <c r="QYW1223" s="3"/>
      <c r="QYX1223" s="4"/>
      <c r="QYY1223" s="4"/>
      <c r="QYZ1223" s="18"/>
      <c r="QZA1223" s="3"/>
      <c r="QZB1223" s="4"/>
      <c r="QZC1223" s="4"/>
      <c r="QZD1223" s="18"/>
      <c r="QZE1223" s="3"/>
      <c r="QZF1223" s="4"/>
      <c r="QZG1223" s="4"/>
      <c r="QZH1223" s="18"/>
      <c r="QZI1223" s="3"/>
      <c r="QZJ1223" s="4"/>
      <c r="QZK1223" s="4"/>
      <c r="QZL1223" s="18"/>
      <c r="QZM1223" s="3"/>
      <c r="QZN1223" s="4"/>
      <c r="QZO1223" s="4"/>
      <c r="QZP1223" s="18"/>
      <c r="QZQ1223" s="3"/>
      <c r="QZR1223" s="4"/>
      <c r="QZS1223" s="4"/>
      <c r="QZT1223" s="18"/>
      <c r="QZU1223" s="3"/>
      <c r="QZV1223" s="4"/>
      <c r="QZW1223" s="4"/>
      <c r="QZX1223" s="18"/>
      <c r="QZY1223" s="3"/>
      <c r="QZZ1223" s="4"/>
      <c r="RAA1223" s="4"/>
      <c r="RAB1223" s="18"/>
      <c r="RAC1223" s="3"/>
      <c r="RAD1223" s="4"/>
      <c r="RAE1223" s="4"/>
      <c r="RAF1223" s="18"/>
      <c r="RAG1223" s="3"/>
      <c r="RAH1223" s="4"/>
      <c r="RAI1223" s="4"/>
      <c r="RAJ1223" s="18"/>
      <c r="RAK1223" s="3"/>
      <c r="RAL1223" s="4"/>
      <c r="RAM1223" s="4"/>
      <c r="RAN1223" s="18"/>
      <c r="RAO1223" s="3"/>
      <c r="RAP1223" s="4"/>
      <c r="RAQ1223" s="4"/>
      <c r="RAR1223" s="18"/>
      <c r="RAS1223" s="3"/>
      <c r="RAT1223" s="4"/>
      <c r="RAU1223" s="4"/>
      <c r="RAV1223" s="18"/>
      <c r="RAW1223" s="3"/>
      <c r="RAX1223" s="4"/>
      <c r="RAY1223" s="4"/>
      <c r="RAZ1223" s="18"/>
      <c r="RBA1223" s="3"/>
      <c r="RBB1223" s="4"/>
      <c r="RBC1223" s="4"/>
      <c r="RBD1223" s="18"/>
      <c r="RBE1223" s="3"/>
      <c r="RBF1223" s="4"/>
      <c r="RBG1223" s="4"/>
      <c r="RBH1223" s="18"/>
      <c r="RBI1223" s="3"/>
      <c r="RBJ1223" s="4"/>
      <c r="RBK1223" s="4"/>
      <c r="RBL1223" s="18"/>
      <c r="RBM1223" s="3"/>
      <c r="RBN1223" s="4"/>
      <c r="RBO1223" s="4"/>
      <c r="RBP1223" s="18"/>
      <c r="RBQ1223" s="3"/>
      <c r="RBR1223" s="4"/>
      <c r="RBS1223" s="4"/>
      <c r="RBT1223" s="18"/>
      <c r="RBU1223" s="3"/>
      <c r="RBV1223" s="4"/>
      <c r="RBW1223" s="4"/>
      <c r="RBX1223" s="18"/>
      <c r="RBY1223" s="3"/>
      <c r="RBZ1223" s="4"/>
      <c r="RCA1223" s="4"/>
      <c r="RCB1223" s="18"/>
      <c r="RCC1223" s="3"/>
      <c r="RCD1223" s="4"/>
      <c r="RCE1223" s="4"/>
      <c r="RCF1223" s="18"/>
      <c r="RCG1223" s="3"/>
      <c r="RCH1223" s="4"/>
      <c r="RCI1223" s="4"/>
      <c r="RCJ1223" s="18"/>
      <c r="RCK1223" s="3"/>
      <c r="RCL1223" s="4"/>
      <c r="RCM1223" s="4"/>
      <c r="RCN1223" s="18"/>
      <c r="RCO1223" s="3"/>
      <c r="RCP1223" s="4"/>
      <c r="RCQ1223" s="4"/>
      <c r="RCR1223" s="18"/>
      <c r="RCS1223" s="3"/>
      <c r="RCT1223" s="4"/>
      <c r="RCU1223" s="4"/>
      <c r="RCV1223" s="18"/>
      <c r="RCW1223" s="3"/>
      <c r="RCX1223" s="4"/>
      <c r="RCY1223" s="4"/>
      <c r="RCZ1223" s="18"/>
      <c r="RDA1223" s="3"/>
      <c r="RDB1223" s="4"/>
      <c r="RDC1223" s="4"/>
      <c r="RDD1223" s="18"/>
      <c r="RDE1223" s="3"/>
      <c r="RDF1223" s="4"/>
      <c r="RDG1223" s="4"/>
      <c r="RDH1223" s="18"/>
      <c r="RDI1223" s="3"/>
      <c r="RDJ1223" s="4"/>
      <c r="RDK1223" s="4"/>
      <c r="RDL1223" s="18"/>
      <c r="RDM1223" s="3"/>
      <c r="RDN1223" s="4"/>
      <c r="RDO1223" s="4"/>
      <c r="RDP1223" s="18"/>
      <c r="RDQ1223" s="3"/>
      <c r="RDR1223" s="4"/>
      <c r="RDS1223" s="4"/>
      <c r="RDT1223" s="18"/>
      <c r="RDU1223" s="3"/>
      <c r="RDV1223" s="4"/>
      <c r="RDW1223" s="4"/>
      <c r="RDX1223" s="18"/>
      <c r="RDY1223" s="3"/>
      <c r="RDZ1223" s="4"/>
      <c r="REA1223" s="4"/>
      <c r="REB1223" s="18"/>
      <c r="REC1223" s="3"/>
      <c r="RED1223" s="4"/>
      <c r="REE1223" s="4"/>
      <c r="REF1223" s="18"/>
      <c r="REG1223" s="3"/>
      <c r="REH1223" s="4"/>
      <c r="REI1223" s="4"/>
      <c r="REJ1223" s="18"/>
      <c r="REK1223" s="3"/>
      <c r="REL1223" s="4"/>
      <c r="REM1223" s="4"/>
      <c r="REN1223" s="18"/>
      <c r="REO1223" s="3"/>
      <c r="REP1223" s="4"/>
      <c r="REQ1223" s="4"/>
      <c r="RER1223" s="18"/>
      <c r="RES1223" s="3"/>
      <c r="RET1223" s="4"/>
      <c r="REU1223" s="4"/>
      <c r="REV1223" s="18"/>
      <c r="REW1223" s="3"/>
      <c r="REX1223" s="4"/>
      <c r="REY1223" s="4"/>
      <c r="REZ1223" s="18"/>
      <c r="RFA1223" s="3"/>
      <c r="RFB1223" s="4"/>
      <c r="RFC1223" s="4"/>
      <c r="RFD1223" s="18"/>
      <c r="RFE1223" s="3"/>
      <c r="RFF1223" s="4"/>
      <c r="RFG1223" s="4"/>
      <c r="RFH1223" s="18"/>
      <c r="RFI1223" s="3"/>
      <c r="RFJ1223" s="4"/>
      <c r="RFK1223" s="4"/>
      <c r="RFL1223" s="18"/>
      <c r="RFM1223" s="3"/>
      <c r="RFN1223" s="4"/>
      <c r="RFO1223" s="4"/>
      <c r="RFP1223" s="18"/>
      <c r="RFQ1223" s="3"/>
      <c r="RFR1223" s="4"/>
      <c r="RFS1223" s="4"/>
      <c r="RFT1223" s="18"/>
      <c r="RFU1223" s="3"/>
      <c r="RFV1223" s="4"/>
      <c r="RFW1223" s="4"/>
      <c r="RFX1223" s="18"/>
      <c r="RFY1223" s="3"/>
      <c r="RFZ1223" s="4"/>
      <c r="RGA1223" s="4"/>
      <c r="RGB1223" s="18"/>
      <c r="RGC1223" s="3"/>
      <c r="RGD1223" s="4"/>
      <c r="RGE1223" s="4"/>
      <c r="RGF1223" s="18"/>
      <c r="RGG1223" s="3"/>
      <c r="RGH1223" s="4"/>
      <c r="RGI1223" s="4"/>
      <c r="RGJ1223" s="18"/>
      <c r="RGK1223" s="3"/>
      <c r="RGL1223" s="4"/>
      <c r="RGM1223" s="4"/>
      <c r="RGN1223" s="18"/>
      <c r="RGO1223" s="3"/>
      <c r="RGP1223" s="4"/>
      <c r="RGQ1223" s="4"/>
      <c r="RGR1223" s="18"/>
      <c r="RGS1223" s="3"/>
      <c r="RGT1223" s="4"/>
      <c r="RGU1223" s="4"/>
      <c r="RGV1223" s="18"/>
      <c r="RGW1223" s="3"/>
      <c r="RGX1223" s="4"/>
      <c r="RGY1223" s="4"/>
      <c r="RGZ1223" s="18"/>
      <c r="RHA1223" s="3"/>
      <c r="RHB1223" s="4"/>
      <c r="RHC1223" s="4"/>
      <c r="RHD1223" s="18"/>
      <c r="RHE1223" s="3"/>
      <c r="RHF1223" s="4"/>
      <c r="RHG1223" s="4"/>
      <c r="RHH1223" s="18"/>
      <c r="RHI1223" s="3"/>
      <c r="RHJ1223" s="4"/>
      <c r="RHK1223" s="4"/>
      <c r="RHL1223" s="18"/>
      <c r="RHM1223" s="3"/>
      <c r="RHN1223" s="4"/>
      <c r="RHO1223" s="4"/>
      <c r="RHP1223" s="18"/>
      <c r="RHQ1223" s="3"/>
      <c r="RHR1223" s="4"/>
      <c r="RHS1223" s="4"/>
      <c r="RHT1223" s="18"/>
      <c r="RHU1223" s="3"/>
      <c r="RHV1223" s="4"/>
      <c r="RHW1223" s="4"/>
      <c r="RHX1223" s="18"/>
      <c r="RHY1223" s="3"/>
      <c r="RHZ1223" s="4"/>
      <c r="RIA1223" s="4"/>
      <c r="RIB1223" s="18"/>
      <c r="RIC1223" s="3"/>
      <c r="RID1223" s="4"/>
      <c r="RIE1223" s="4"/>
      <c r="RIF1223" s="18"/>
      <c r="RIG1223" s="3"/>
      <c r="RIH1223" s="4"/>
      <c r="RII1223" s="4"/>
      <c r="RIJ1223" s="18"/>
      <c r="RIK1223" s="3"/>
      <c r="RIL1223" s="4"/>
      <c r="RIM1223" s="4"/>
      <c r="RIN1223" s="18"/>
      <c r="RIO1223" s="3"/>
      <c r="RIP1223" s="4"/>
      <c r="RIQ1223" s="4"/>
      <c r="RIR1223" s="18"/>
      <c r="RIS1223" s="3"/>
      <c r="RIT1223" s="4"/>
      <c r="RIU1223" s="4"/>
      <c r="RIV1223" s="18"/>
      <c r="RIW1223" s="3"/>
      <c r="RIX1223" s="4"/>
      <c r="RIY1223" s="4"/>
      <c r="RIZ1223" s="18"/>
      <c r="RJA1223" s="3"/>
      <c r="RJB1223" s="4"/>
      <c r="RJC1223" s="4"/>
      <c r="RJD1223" s="18"/>
      <c r="RJE1223" s="3"/>
      <c r="RJF1223" s="4"/>
      <c r="RJG1223" s="4"/>
      <c r="RJH1223" s="18"/>
      <c r="RJI1223" s="3"/>
      <c r="RJJ1223" s="4"/>
      <c r="RJK1223" s="4"/>
      <c r="RJL1223" s="18"/>
      <c r="RJM1223" s="3"/>
      <c r="RJN1223" s="4"/>
      <c r="RJO1223" s="4"/>
      <c r="RJP1223" s="18"/>
      <c r="RJQ1223" s="3"/>
      <c r="RJR1223" s="4"/>
      <c r="RJS1223" s="4"/>
      <c r="RJT1223" s="18"/>
      <c r="RJU1223" s="3"/>
      <c r="RJV1223" s="4"/>
      <c r="RJW1223" s="4"/>
      <c r="RJX1223" s="18"/>
      <c r="RJY1223" s="3"/>
      <c r="RJZ1223" s="4"/>
      <c r="RKA1223" s="4"/>
      <c r="RKB1223" s="18"/>
      <c r="RKC1223" s="3"/>
      <c r="RKD1223" s="4"/>
      <c r="RKE1223" s="4"/>
      <c r="RKF1223" s="18"/>
      <c r="RKG1223" s="3"/>
      <c r="RKH1223" s="4"/>
      <c r="RKI1223" s="4"/>
      <c r="RKJ1223" s="18"/>
      <c r="RKK1223" s="3"/>
      <c r="RKL1223" s="4"/>
      <c r="RKM1223" s="4"/>
      <c r="RKN1223" s="18"/>
      <c r="RKO1223" s="3"/>
      <c r="RKP1223" s="4"/>
      <c r="RKQ1223" s="4"/>
      <c r="RKR1223" s="18"/>
      <c r="RKS1223" s="3"/>
      <c r="RKT1223" s="4"/>
      <c r="RKU1223" s="4"/>
      <c r="RKV1223" s="18"/>
      <c r="RKW1223" s="3"/>
      <c r="RKX1223" s="4"/>
      <c r="RKY1223" s="4"/>
      <c r="RKZ1223" s="18"/>
      <c r="RLA1223" s="3"/>
      <c r="RLB1223" s="4"/>
      <c r="RLC1223" s="4"/>
      <c r="RLD1223" s="18"/>
      <c r="RLE1223" s="3"/>
      <c r="RLF1223" s="4"/>
      <c r="RLG1223" s="4"/>
      <c r="RLH1223" s="18"/>
      <c r="RLI1223" s="3"/>
      <c r="RLJ1223" s="4"/>
      <c r="RLK1223" s="4"/>
      <c r="RLL1223" s="18"/>
      <c r="RLM1223" s="3"/>
      <c r="RLN1223" s="4"/>
      <c r="RLO1223" s="4"/>
      <c r="RLP1223" s="18"/>
      <c r="RLQ1223" s="3"/>
      <c r="RLR1223" s="4"/>
      <c r="RLS1223" s="4"/>
      <c r="RLT1223" s="18"/>
      <c r="RLU1223" s="3"/>
      <c r="RLV1223" s="4"/>
      <c r="RLW1223" s="4"/>
      <c r="RLX1223" s="18"/>
      <c r="RLY1223" s="3"/>
      <c r="RLZ1223" s="4"/>
      <c r="RMA1223" s="4"/>
      <c r="RMB1223" s="18"/>
      <c r="RMC1223" s="3"/>
      <c r="RMD1223" s="4"/>
      <c r="RME1223" s="4"/>
      <c r="RMF1223" s="18"/>
      <c r="RMG1223" s="3"/>
      <c r="RMH1223" s="4"/>
      <c r="RMI1223" s="4"/>
      <c r="RMJ1223" s="18"/>
      <c r="RMK1223" s="3"/>
      <c r="RML1223" s="4"/>
      <c r="RMM1223" s="4"/>
      <c r="RMN1223" s="18"/>
      <c r="RMO1223" s="3"/>
      <c r="RMP1223" s="4"/>
      <c r="RMQ1223" s="4"/>
      <c r="RMR1223" s="18"/>
      <c r="RMS1223" s="3"/>
      <c r="RMT1223" s="4"/>
      <c r="RMU1223" s="4"/>
      <c r="RMV1223" s="18"/>
      <c r="RMW1223" s="3"/>
      <c r="RMX1223" s="4"/>
      <c r="RMY1223" s="4"/>
      <c r="RMZ1223" s="18"/>
      <c r="RNA1223" s="3"/>
      <c r="RNB1223" s="4"/>
      <c r="RNC1223" s="4"/>
      <c r="RND1223" s="18"/>
      <c r="RNE1223" s="3"/>
      <c r="RNF1223" s="4"/>
      <c r="RNG1223" s="4"/>
      <c r="RNH1223" s="18"/>
      <c r="RNI1223" s="3"/>
      <c r="RNJ1223" s="4"/>
      <c r="RNK1223" s="4"/>
      <c r="RNL1223" s="18"/>
      <c r="RNM1223" s="3"/>
      <c r="RNN1223" s="4"/>
      <c r="RNO1223" s="4"/>
      <c r="RNP1223" s="18"/>
      <c r="RNQ1223" s="3"/>
      <c r="RNR1223" s="4"/>
      <c r="RNS1223" s="4"/>
      <c r="RNT1223" s="18"/>
      <c r="RNU1223" s="3"/>
      <c r="RNV1223" s="4"/>
      <c r="RNW1223" s="4"/>
      <c r="RNX1223" s="18"/>
      <c r="RNY1223" s="3"/>
      <c r="RNZ1223" s="4"/>
      <c r="ROA1223" s="4"/>
      <c r="ROB1223" s="18"/>
      <c r="ROC1223" s="3"/>
      <c r="ROD1223" s="4"/>
      <c r="ROE1223" s="4"/>
      <c r="ROF1223" s="18"/>
      <c r="ROG1223" s="3"/>
      <c r="ROH1223" s="4"/>
      <c r="ROI1223" s="4"/>
      <c r="ROJ1223" s="18"/>
      <c r="ROK1223" s="3"/>
      <c r="ROL1223" s="4"/>
      <c r="ROM1223" s="4"/>
      <c r="RON1223" s="18"/>
      <c r="ROO1223" s="3"/>
      <c r="ROP1223" s="4"/>
      <c r="ROQ1223" s="4"/>
      <c r="ROR1223" s="18"/>
      <c r="ROS1223" s="3"/>
      <c r="ROT1223" s="4"/>
      <c r="ROU1223" s="4"/>
      <c r="ROV1223" s="18"/>
      <c r="ROW1223" s="3"/>
      <c r="ROX1223" s="4"/>
      <c r="ROY1223" s="4"/>
      <c r="ROZ1223" s="18"/>
      <c r="RPA1223" s="3"/>
      <c r="RPB1223" s="4"/>
      <c r="RPC1223" s="4"/>
      <c r="RPD1223" s="18"/>
      <c r="RPE1223" s="3"/>
      <c r="RPF1223" s="4"/>
      <c r="RPG1223" s="4"/>
      <c r="RPH1223" s="18"/>
      <c r="RPI1223" s="3"/>
      <c r="RPJ1223" s="4"/>
      <c r="RPK1223" s="4"/>
      <c r="RPL1223" s="18"/>
      <c r="RPM1223" s="3"/>
      <c r="RPN1223" s="4"/>
      <c r="RPO1223" s="4"/>
      <c r="RPP1223" s="18"/>
      <c r="RPQ1223" s="3"/>
      <c r="RPR1223" s="4"/>
      <c r="RPS1223" s="4"/>
      <c r="RPT1223" s="18"/>
      <c r="RPU1223" s="3"/>
      <c r="RPV1223" s="4"/>
      <c r="RPW1223" s="4"/>
      <c r="RPX1223" s="18"/>
      <c r="RPY1223" s="3"/>
      <c r="RPZ1223" s="4"/>
      <c r="RQA1223" s="4"/>
      <c r="RQB1223" s="18"/>
      <c r="RQC1223" s="3"/>
      <c r="RQD1223" s="4"/>
      <c r="RQE1223" s="4"/>
      <c r="RQF1223" s="18"/>
      <c r="RQG1223" s="3"/>
      <c r="RQH1223" s="4"/>
      <c r="RQI1223" s="4"/>
      <c r="RQJ1223" s="18"/>
      <c r="RQK1223" s="3"/>
      <c r="RQL1223" s="4"/>
      <c r="RQM1223" s="4"/>
      <c r="RQN1223" s="18"/>
      <c r="RQO1223" s="3"/>
      <c r="RQP1223" s="4"/>
      <c r="RQQ1223" s="4"/>
      <c r="RQR1223" s="18"/>
      <c r="RQS1223" s="3"/>
      <c r="RQT1223" s="4"/>
      <c r="RQU1223" s="4"/>
      <c r="RQV1223" s="18"/>
      <c r="RQW1223" s="3"/>
      <c r="RQX1223" s="4"/>
      <c r="RQY1223" s="4"/>
      <c r="RQZ1223" s="18"/>
      <c r="RRA1223" s="3"/>
      <c r="RRB1223" s="4"/>
      <c r="RRC1223" s="4"/>
      <c r="RRD1223" s="18"/>
      <c r="RRE1223" s="3"/>
      <c r="RRF1223" s="4"/>
      <c r="RRG1223" s="4"/>
      <c r="RRH1223" s="18"/>
      <c r="RRI1223" s="3"/>
      <c r="RRJ1223" s="4"/>
      <c r="RRK1223" s="4"/>
      <c r="RRL1223" s="18"/>
      <c r="RRM1223" s="3"/>
      <c r="RRN1223" s="4"/>
      <c r="RRO1223" s="4"/>
      <c r="RRP1223" s="18"/>
      <c r="RRQ1223" s="3"/>
      <c r="RRR1223" s="4"/>
      <c r="RRS1223" s="4"/>
      <c r="RRT1223" s="18"/>
      <c r="RRU1223" s="3"/>
      <c r="RRV1223" s="4"/>
      <c r="RRW1223" s="4"/>
      <c r="RRX1223" s="18"/>
      <c r="RRY1223" s="3"/>
      <c r="RRZ1223" s="4"/>
      <c r="RSA1223" s="4"/>
      <c r="RSB1223" s="18"/>
      <c r="RSC1223" s="3"/>
      <c r="RSD1223" s="4"/>
      <c r="RSE1223" s="4"/>
      <c r="RSF1223" s="18"/>
      <c r="RSG1223" s="3"/>
      <c r="RSH1223" s="4"/>
      <c r="RSI1223" s="4"/>
      <c r="RSJ1223" s="18"/>
      <c r="RSK1223" s="3"/>
      <c r="RSL1223" s="4"/>
      <c r="RSM1223" s="4"/>
      <c r="RSN1223" s="18"/>
      <c r="RSO1223" s="3"/>
      <c r="RSP1223" s="4"/>
      <c r="RSQ1223" s="4"/>
      <c r="RSR1223" s="18"/>
      <c r="RSS1223" s="3"/>
      <c r="RST1223" s="4"/>
      <c r="RSU1223" s="4"/>
      <c r="RSV1223" s="18"/>
      <c r="RSW1223" s="3"/>
      <c r="RSX1223" s="4"/>
      <c r="RSY1223" s="4"/>
      <c r="RSZ1223" s="18"/>
      <c r="RTA1223" s="3"/>
      <c r="RTB1223" s="4"/>
      <c r="RTC1223" s="4"/>
      <c r="RTD1223" s="18"/>
      <c r="RTE1223" s="3"/>
      <c r="RTF1223" s="4"/>
      <c r="RTG1223" s="4"/>
      <c r="RTH1223" s="18"/>
      <c r="RTI1223" s="3"/>
      <c r="RTJ1223" s="4"/>
      <c r="RTK1223" s="4"/>
      <c r="RTL1223" s="18"/>
      <c r="RTM1223" s="3"/>
      <c r="RTN1223" s="4"/>
      <c r="RTO1223" s="4"/>
      <c r="RTP1223" s="18"/>
      <c r="RTQ1223" s="3"/>
      <c r="RTR1223" s="4"/>
      <c r="RTS1223" s="4"/>
      <c r="RTT1223" s="18"/>
      <c r="RTU1223" s="3"/>
      <c r="RTV1223" s="4"/>
      <c r="RTW1223" s="4"/>
      <c r="RTX1223" s="18"/>
      <c r="RTY1223" s="3"/>
      <c r="RTZ1223" s="4"/>
      <c r="RUA1223" s="4"/>
      <c r="RUB1223" s="18"/>
      <c r="RUC1223" s="3"/>
      <c r="RUD1223" s="4"/>
      <c r="RUE1223" s="4"/>
      <c r="RUF1223" s="18"/>
      <c r="RUG1223" s="3"/>
      <c r="RUH1223" s="4"/>
      <c r="RUI1223" s="4"/>
      <c r="RUJ1223" s="18"/>
      <c r="RUK1223" s="3"/>
      <c r="RUL1223" s="4"/>
      <c r="RUM1223" s="4"/>
      <c r="RUN1223" s="18"/>
      <c r="RUO1223" s="3"/>
      <c r="RUP1223" s="4"/>
      <c r="RUQ1223" s="4"/>
      <c r="RUR1223" s="18"/>
      <c r="RUS1223" s="3"/>
      <c r="RUT1223" s="4"/>
      <c r="RUU1223" s="4"/>
      <c r="RUV1223" s="18"/>
      <c r="RUW1223" s="3"/>
      <c r="RUX1223" s="4"/>
      <c r="RUY1223" s="4"/>
      <c r="RUZ1223" s="18"/>
      <c r="RVA1223" s="3"/>
      <c r="RVB1223" s="4"/>
      <c r="RVC1223" s="4"/>
      <c r="RVD1223" s="18"/>
      <c r="RVE1223" s="3"/>
      <c r="RVF1223" s="4"/>
      <c r="RVG1223" s="4"/>
      <c r="RVH1223" s="18"/>
      <c r="RVI1223" s="3"/>
      <c r="RVJ1223" s="4"/>
      <c r="RVK1223" s="4"/>
      <c r="RVL1223" s="18"/>
      <c r="RVM1223" s="3"/>
      <c r="RVN1223" s="4"/>
      <c r="RVO1223" s="4"/>
      <c r="RVP1223" s="18"/>
      <c r="RVQ1223" s="3"/>
      <c r="RVR1223" s="4"/>
      <c r="RVS1223" s="4"/>
      <c r="RVT1223" s="18"/>
      <c r="RVU1223" s="3"/>
      <c r="RVV1223" s="4"/>
      <c r="RVW1223" s="4"/>
      <c r="RVX1223" s="18"/>
      <c r="RVY1223" s="3"/>
      <c r="RVZ1223" s="4"/>
      <c r="RWA1223" s="4"/>
      <c r="RWB1223" s="18"/>
      <c r="RWC1223" s="3"/>
      <c r="RWD1223" s="4"/>
      <c r="RWE1223" s="4"/>
      <c r="RWF1223" s="18"/>
      <c r="RWG1223" s="3"/>
      <c r="RWH1223" s="4"/>
      <c r="RWI1223" s="4"/>
      <c r="RWJ1223" s="18"/>
      <c r="RWK1223" s="3"/>
      <c r="RWL1223" s="4"/>
      <c r="RWM1223" s="4"/>
      <c r="RWN1223" s="18"/>
      <c r="RWO1223" s="3"/>
      <c r="RWP1223" s="4"/>
      <c r="RWQ1223" s="4"/>
      <c r="RWR1223" s="18"/>
      <c r="RWS1223" s="3"/>
      <c r="RWT1223" s="4"/>
      <c r="RWU1223" s="4"/>
      <c r="RWV1223" s="18"/>
      <c r="RWW1223" s="3"/>
      <c r="RWX1223" s="4"/>
      <c r="RWY1223" s="4"/>
      <c r="RWZ1223" s="18"/>
      <c r="RXA1223" s="3"/>
      <c r="RXB1223" s="4"/>
      <c r="RXC1223" s="4"/>
      <c r="RXD1223" s="18"/>
      <c r="RXE1223" s="3"/>
      <c r="RXF1223" s="4"/>
      <c r="RXG1223" s="4"/>
      <c r="RXH1223" s="18"/>
      <c r="RXI1223" s="3"/>
      <c r="RXJ1223" s="4"/>
      <c r="RXK1223" s="4"/>
      <c r="RXL1223" s="18"/>
      <c r="RXM1223" s="3"/>
      <c r="RXN1223" s="4"/>
      <c r="RXO1223" s="4"/>
      <c r="RXP1223" s="18"/>
      <c r="RXQ1223" s="3"/>
      <c r="RXR1223" s="4"/>
      <c r="RXS1223" s="4"/>
      <c r="RXT1223" s="18"/>
      <c r="RXU1223" s="3"/>
      <c r="RXV1223" s="4"/>
      <c r="RXW1223" s="4"/>
      <c r="RXX1223" s="18"/>
      <c r="RXY1223" s="3"/>
      <c r="RXZ1223" s="4"/>
      <c r="RYA1223" s="4"/>
      <c r="RYB1223" s="18"/>
      <c r="RYC1223" s="3"/>
      <c r="RYD1223" s="4"/>
      <c r="RYE1223" s="4"/>
      <c r="RYF1223" s="18"/>
      <c r="RYG1223" s="3"/>
      <c r="RYH1223" s="4"/>
      <c r="RYI1223" s="4"/>
      <c r="RYJ1223" s="18"/>
      <c r="RYK1223" s="3"/>
      <c r="RYL1223" s="4"/>
      <c r="RYM1223" s="4"/>
      <c r="RYN1223" s="18"/>
      <c r="RYO1223" s="3"/>
      <c r="RYP1223" s="4"/>
      <c r="RYQ1223" s="4"/>
      <c r="RYR1223" s="18"/>
      <c r="RYS1223" s="3"/>
      <c r="RYT1223" s="4"/>
      <c r="RYU1223" s="4"/>
      <c r="RYV1223" s="18"/>
      <c r="RYW1223" s="3"/>
      <c r="RYX1223" s="4"/>
      <c r="RYY1223" s="4"/>
      <c r="RYZ1223" s="18"/>
      <c r="RZA1223" s="3"/>
      <c r="RZB1223" s="4"/>
      <c r="RZC1223" s="4"/>
      <c r="RZD1223" s="18"/>
      <c r="RZE1223" s="3"/>
      <c r="RZF1223" s="4"/>
      <c r="RZG1223" s="4"/>
      <c r="RZH1223" s="18"/>
      <c r="RZI1223" s="3"/>
      <c r="RZJ1223" s="4"/>
      <c r="RZK1223" s="4"/>
      <c r="RZL1223" s="18"/>
      <c r="RZM1223" s="3"/>
      <c r="RZN1223" s="4"/>
      <c r="RZO1223" s="4"/>
      <c r="RZP1223" s="18"/>
      <c r="RZQ1223" s="3"/>
      <c r="RZR1223" s="4"/>
      <c r="RZS1223" s="4"/>
      <c r="RZT1223" s="18"/>
      <c r="RZU1223" s="3"/>
      <c r="RZV1223" s="4"/>
      <c r="RZW1223" s="4"/>
      <c r="RZX1223" s="18"/>
      <c r="RZY1223" s="3"/>
      <c r="RZZ1223" s="4"/>
      <c r="SAA1223" s="4"/>
      <c r="SAB1223" s="18"/>
      <c r="SAC1223" s="3"/>
      <c r="SAD1223" s="4"/>
      <c r="SAE1223" s="4"/>
      <c r="SAF1223" s="18"/>
      <c r="SAG1223" s="3"/>
      <c r="SAH1223" s="4"/>
      <c r="SAI1223" s="4"/>
      <c r="SAJ1223" s="18"/>
      <c r="SAK1223" s="3"/>
      <c r="SAL1223" s="4"/>
      <c r="SAM1223" s="4"/>
      <c r="SAN1223" s="18"/>
      <c r="SAO1223" s="3"/>
      <c r="SAP1223" s="4"/>
      <c r="SAQ1223" s="4"/>
      <c r="SAR1223" s="18"/>
      <c r="SAS1223" s="3"/>
      <c r="SAT1223" s="4"/>
      <c r="SAU1223" s="4"/>
      <c r="SAV1223" s="18"/>
      <c r="SAW1223" s="3"/>
      <c r="SAX1223" s="4"/>
      <c r="SAY1223" s="4"/>
      <c r="SAZ1223" s="18"/>
      <c r="SBA1223" s="3"/>
      <c r="SBB1223" s="4"/>
      <c r="SBC1223" s="4"/>
      <c r="SBD1223" s="18"/>
      <c r="SBE1223" s="3"/>
      <c r="SBF1223" s="4"/>
      <c r="SBG1223" s="4"/>
      <c r="SBH1223" s="18"/>
      <c r="SBI1223" s="3"/>
      <c r="SBJ1223" s="4"/>
      <c r="SBK1223" s="4"/>
      <c r="SBL1223" s="18"/>
      <c r="SBM1223" s="3"/>
      <c r="SBN1223" s="4"/>
      <c r="SBO1223" s="4"/>
      <c r="SBP1223" s="18"/>
      <c r="SBQ1223" s="3"/>
      <c r="SBR1223" s="4"/>
      <c r="SBS1223" s="4"/>
      <c r="SBT1223" s="18"/>
      <c r="SBU1223" s="3"/>
      <c r="SBV1223" s="4"/>
      <c r="SBW1223" s="4"/>
      <c r="SBX1223" s="18"/>
      <c r="SBY1223" s="3"/>
      <c r="SBZ1223" s="4"/>
      <c r="SCA1223" s="4"/>
      <c r="SCB1223" s="18"/>
      <c r="SCC1223" s="3"/>
      <c r="SCD1223" s="4"/>
      <c r="SCE1223" s="4"/>
      <c r="SCF1223" s="18"/>
      <c r="SCG1223" s="3"/>
      <c r="SCH1223" s="4"/>
      <c r="SCI1223" s="4"/>
      <c r="SCJ1223" s="18"/>
      <c r="SCK1223" s="3"/>
      <c r="SCL1223" s="4"/>
      <c r="SCM1223" s="4"/>
      <c r="SCN1223" s="18"/>
      <c r="SCO1223" s="3"/>
      <c r="SCP1223" s="4"/>
      <c r="SCQ1223" s="4"/>
      <c r="SCR1223" s="18"/>
      <c r="SCS1223" s="3"/>
      <c r="SCT1223" s="4"/>
      <c r="SCU1223" s="4"/>
      <c r="SCV1223" s="18"/>
      <c r="SCW1223" s="3"/>
      <c r="SCX1223" s="4"/>
      <c r="SCY1223" s="4"/>
      <c r="SCZ1223" s="18"/>
      <c r="SDA1223" s="3"/>
      <c r="SDB1223" s="4"/>
      <c r="SDC1223" s="4"/>
      <c r="SDD1223" s="18"/>
      <c r="SDE1223" s="3"/>
      <c r="SDF1223" s="4"/>
      <c r="SDG1223" s="4"/>
      <c r="SDH1223" s="18"/>
      <c r="SDI1223" s="3"/>
      <c r="SDJ1223" s="4"/>
      <c r="SDK1223" s="4"/>
      <c r="SDL1223" s="18"/>
      <c r="SDM1223" s="3"/>
      <c r="SDN1223" s="4"/>
      <c r="SDO1223" s="4"/>
      <c r="SDP1223" s="18"/>
      <c r="SDQ1223" s="3"/>
      <c r="SDR1223" s="4"/>
      <c r="SDS1223" s="4"/>
      <c r="SDT1223" s="18"/>
      <c r="SDU1223" s="3"/>
      <c r="SDV1223" s="4"/>
      <c r="SDW1223" s="4"/>
      <c r="SDX1223" s="18"/>
      <c r="SDY1223" s="3"/>
      <c r="SDZ1223" s="4"/>
      <c r="SEA1223" s="4"/>
      <c r="SEB1223" s="18"/>
      <c r="SEC1223" s="3"/>
      <c r="SED1223" s="4"/>
      <c r="SEE1223" s="4"/>
      <c r="SEF1223" s="18"/>
      <c r="SEG1223" s="3"/>
      <c r="SEH1223" s="4"/>
      <c r="SEI1223" s="4"/>
      <c r="SEJ1223" s="18"/>
      <c r="SEK1223" s="3"/>
      <c r="SEL1223" s="4"/>
      <c r="SEM1223" s="4"/>
      <c r="SEN1223" s="18"/>
      <c r="SEO1223" s="3"/>
      <c r="SEP1223" s="4"/>
      <c r="SEQ1223" s="4"/>
      <c r="SER1223" s="18"/>
      <c r="SES1223" s="3"/>
      <c r="SET1223" s="4"/>
      <c r="SEU1223" s="4"/>
      <c r="SEV1223" s="18"/>
      <c r="SEW1223" s="3"/>
      <c r="SEX1223" s="4"/>
      <c r="SEY1223" s="4"/>
      <c r="SEZ1223" s="18"/>
      <c r="SFA1223" s="3"/>
      <c r="SFB1223" s="4"/>
      <c r="SFC1223" s="4"/>
      <c r="SFD1223" s="18"/>
      <c r="SFE1223" s="3"/>
      <c r="SFF1223" s="4"/>
      <c r="SFG1223" s="4"/>
      <c r="SFH1223" s="18"/>
      <c r="SFI1223" s="3"/>
      <c r="SFJ1223" s="4"/>
      <c r="SFK1223" s="4"/>
      <c r="SFL1223" s="18"/>
      <c r="SFM1223" s="3"/>
      <c r="SFN1223" s="4"/>
      <c r="SFO1223" s="4"/>
      <c r="SFP1223" s="18"/>
      <c r="SFQ1223" s="3"/>
      <c r="SFR1223" s="4"/>
      <c r="SFS1223" s="4"/>
      <c r="SFT1223" s="18"/>
      <c r="SFU1223" s="3"/>
      <c r="SFV1223" s="4"/>
      <c r="SFW1223" s="4"/>
      <c r="SFX1223" s="18"/>
      <c r="SFY1223" s="3"/>
      <c r="SFZ1223" s="4"/>
      <c r="SGA1223" s="4"/>
      <c r="SGB1223" s="18"/>
      <c r="SGC1223" s="3"/>
      <c r="SGD1223" s="4"/>
      <c r="SGE1223" s="4"/>
      <c r="SGF1223" s="18"/>
      <c r="SGG1223" s="3"/>
      <c r="SGH1223" s="4"/>
      <c r="SGI1223" s="4"/>
      <c r="SGJ1223" s="18"/>
      <c r="SGK1223" s="3"/>
      <c r="SGL1223" s="4"/>
      <c r="SGM1223" s="4"/>
      <c r="SGN1223" s="18"/>
      <c r="SGO1223" s="3"/>
      <c r="SGP1223" s="4"/>
      <c r="SGQ1223" s="4"/>
      <c r="SGR1223" s="18"/>
      <c r="SGS1223" s="3"/>
      <c r="SGT1223" s="4"/>
      <c r="SGU1223" s="4"/>
      <c r="SGV1223" s="18"/>
      <c r="SGW1223" s="3"/>
      <c r="SGX1223" s="4"/>
      <c r="SGY1223" s="4"/>
      <c r="SGZ1223" s="18"/>
      <c r="SHA1223" s="3"/>
      <c r="SHB1223" s="4"/>
      <c r="SHC1223" s="4"/>
      <c r="SHD1223" s="18"/>
      <c r="SHE1223" s="3"/>
      <c r="SHF1223" s="4"/>
      <c r="SHG1223" s="4"/>
      <c r="SHH1223" s="18"/>
      <c r="SHI1223" s="3"/>
      <c r="SHJ1223" s="4"/>
      <c r="SHK1223" s="4"/>
      <c r="SHL1223" s="18"/>
      <c r="SHM1223" s="3"/>
      <c r="SHN1223" s="4"/>
      <c r="SHO1223" s="4"/>
      <c r="SHP1223" s="18"/>
      <c r="SHQ1223" s="3"/>
      <c r="SHR1223" s="4"/>
      <c r="SHS1223" s="4"/>
      <c r="SHT1223" s="18"/>
      <c r="SHU1223" s="3"/>
      <c r="SHV1223" s="4"/>
      <c r="SHW1223" s="4"/>
      <c r="SHX1223" s="18"/>
      <c r="SHY1223" s="3"/>
      <c r="SHZ1223" s="4"/>
      <c r="SIA1223" s="4"/>
      <c r="SIB1223" s="18"/>
      <c r="SIC1223" s="3"/>
      <c r="SID1223" s="4"/>
      <c r="SIE1223" s="4"/>
      <c r="SIF1223" s="18"/>
      <c r="SIG1223" s="3"/>
      <c r="SIH1223" s="4"/>
      <c r="SII1223" s="4"/>
      <c r="SIJ1223" s="18"/>
      <c r="SIK1223" s="3"/>
      <c r="SIL1223" s="4"/>
      <c r="SIM1223" s="4"/>
      <c r="SIN1223" s="18"/>
      <c r="SIO1223" s="3"/>
      <c r="SIP1223" s="4"/>
      <c r="SIQ1223" s="4"/>
      <c r="SIR1223" s="18"/>
      <c r="SIS1223" s="3"/>
      <c r="SIT1223" s="4"/>
      <c r="SIU1223" s="4"/>
      <c r="SIV1223" s="18"/>
      <c r="SIW1223" s="3"/>
      <c r="SIX1223" s="4"/>
      <c r="SIY1223" s="4"/>
      <c r="SIZ1223" s="18"/>
      <c r="SJA1223" s="3"/>
      <c r="SJB1223" s="4"/>
      <c r="SJC1223" s="4"/>
      <c r="SJD1223" s="18"/>
      <c r="SJE1223" s="3"/>
      <c r="SJF1223" s="4"/>
      <c r="SJG1223" s="4"/>
      <c r="SJH1223" s="18"/>
      <c r="SJI1223" s="3"/>
      <c r="SJJ1223" s="4"/>
      <c r="SJK1223" s="4"/>
      <c r="SJL1223" s="18"/>
      <c r="SJM1223" s="3"/>
      <c r="SJN1223" s="4"/>
      <c r="SJO1223" s="4"/>
      <c r="SJP1223" s="18"/>
      <c r="SJQ1223" s="3"/>
      <c r="SJR1223" s="4"/>
      <c r="SJS1223" s="4"/>
      <c r="SJT1223" s="18"/>
      <c r="SJU1223" s="3"/>
      <c r="SJV1223" s="4"/>
      <c r="SJW1223" s="4"/>
      <c r="SJX1223" s="18"/>
      <c r="SJY1223" s="3"/>
      <c r="SJZ1223" s="4"/>
      <c r="SKA1223" s="4"/>
      <c r="SKB1223" s="18"/>
      <c r="SKC1223" s="3"/>
      <c r="SKD1223" s="4"/>
      <c r="SKE1223" s="4"/>
      <c r="SKF1223" s="18"/>
      <c r="SKG1223" s="3"/>
      <c r="SKH1223" s="4"/>
      <c r="SKI1223" s="4"/>
      <c r="SKJ1223" s="18"/>
      <c r="SKK1223" s="3"/>
      <c r="SKL1223" s="4"/>
      <c r="SKM1223" s="4"/>
      <c r="SKN1223" s="18"/>
      <c r="SKO1223" s="3"/>
      <c r="SKP1223" s="4"/>
      <c r="SKQ1223" s="4"/>
      <c r="SKR1223" s="18"/>
      <c r="SKS1223" s="3"/>
      <c r="SKT1223" s="4"/>
      <c r="SKU1223" s="4"/>
      <c r="SKV1223" s="18"/>
      <c r="SKW1223" s="3"/>
      <c r="SKX1223" s="4"/>
      <c r="SKY1223" s="4"/>
      <c r="SKZ1223" s="18"/>
      <c r="SLA1223" s="3"/>
      <c r="SLB1223" s="4"/>
      <c r="SLC1223" s="4"/>
      <c r="SLD1223" s="18"/>
      <c r="SLE1223" s="3"/>
      <c r="SLF1223" s="4"/>
      <c r="SLG1223" s="4"/>
      <c r="SLH1223" s="18"/>
      <c r="SLI1223" s="3"/>
      <c r="SLJ1223" s="4"/>
      <c r="SLK1223" s="4"/>
      <c r="SLL1223" s="18"/>
      <c r="SLM1223" s="3"/>
      <c r="SLN1223" s="4"/>
      <c r="SLO1223" s="4"/>
      <c r="SLP1223" s="18"/>
      <c r="SLQ1223" s="3"/>
      <c r="SLR1223" s="4"/>
      <c r="SLS1223" s="4"/>
      <c r="SLT1223" s="18"/>
      <c r="SLU1223" s="3"/>
      <c r="SLV1223" s="4"/>
      <c r="SLW1223" s="4"/>
      <c r="SLX1223" s="18"/>
      <c r="SLY1223" s="3"/>
      <c r="SLZ1223" s="4"/>
      <c r="SMA1223" s="4"/>
      <c r="SMB1223" s="18"/>
      <c r="SMC1223" s="3"/>
      <c r="SMD1223" s="4"/>
      <c r="SME1223" s="4"/>
      <c r="SMF1223" s="18"/>
      <c r="SMG1223" s="3"/>
      <c r="SMH1223" s="4"/>
      <c r="SMI1223" s="4"/>
      <c r="SMJ1223" s="18"/>
      <c r="SMK1223" s="3"/>
      <c r="SML1223" s="4"/>
      <c r="SMM1223" s="4"/>
      <c r="SMN1223" s="18"/>
      <c r="SMO1223" s="3"/>
      <c r="SMP1223" s="4"/>
      <c r="SMQ1223" s="4"/>
      <c r="SMR1223" s="18"/>
      <c r="SMS1223" s="3"/>
      <c r="SMT1223" s="4"/>
      <c r="SMU1223" s="4"/>
      <c r="SMV1223" s="18"/>
      <c r="SMW1223" s="3"/>
      <c r="SMX1223" s="4"/>
      <c r="SMY1223" s="4"/>
      <c r="SMZ1223" s="18"/>
      <c r="SNA1223" s="3"/>
      <c r="SNB1223" s="4"/>
      <c r="SNC1223" s="4"/>
      <c r="SND1223" s="18"/>
      <c r="SNE1223" s="3"/>
      <c r="SNF1223" s="4"/>
      <c r="SNG1223" s="4"/>
      <c r="SNH1223" s="18"/>
      <c r="SNI1223" s="3"/>
      <c r="SNJ1223" s="4"/>
      <c r="SNK1223" s="4"/>
      <c r="SNL1223" s="18"/>
      <c r="SNM1223" s="3"/>
      <c r="SNN1223" s="4"/>
      <c r="SNO1223" s="4"/>
      <c r="SNP1223" s="18"/>
      <c r="SNQ1223" s="3"/>
      <c r="SNR1223" s="4"/>
      <c r="SNS1223" s="4"/>
      <c r="SNT1223" s="18"/>
      <c r="SNU1223" s="3"/>
      <c r="SNV1223" s="4"/>
      <c r="SNW1223" s="4"/>
      <c r="SNX1223" s="18"/>
      <c r="SNY1223" s="3"/>
      <c r="SNZ1223" s="4"/>
      <c r="SOA1223" s="4"/>
      <c r="SOB1223" s="18"/>
      <c r="SOC1223" s="3"/>
      <c r="SOD1223" s="4"/>
      <c r="SOE1223" s="4"/>
      <c r="SOF1223" s="18"/>
      <c r="SOG1223" s="3"/>
      <c r="SOH1223" s="4"/>
      <c r="SOI1223" s="4"/>
      <c r="SOJ1223" s="18"/>
      <c r="SOK1223" s="3"/>
      <c r="SOL1223" s="4"/>
      <c r="SOM1223" s="4"/>
      <c r="SON1223" s="18"/>
      <c r="SOO1223" s="3"/>
      <c r="SOP1223" s="4"/>
      <c r="SOQ1223" s="4"/>
      <c r="SOR1223" s="18"/>
      <c r="SOS1223" s="3"/>
      <c r="SOT1223" s="4"/>
      <c r="SOU1223" s="4"/>
      <c r="SOV1223" s="18"/>
      <c r="SOW1223" s="3"/>
      <c r="SOX1223" s="4"/>
      <c r="SOY1223" s="4"/>
      <c r="SOZ1223" s="18"/>
      <c r="SPA1223" s="3"/>
      <c r="SPB1223" s="4"/>
      <c r="SPC1223" s="4"/>
      <c r="SPD1223" s="18"/>
      <c r="SPE1223" s="3"/>
      <c r="SPF1223" s="4"/>
      <c r="SPG1223" s="4"/>
      <c r="SPH1223" s="18"/>
      <c r="SPI1223" s="3"/>
      <c r="SPJ1223" s="4"/>
      <c r="SPK1223" s="4"/>
      <c r="SPL1223" s="18"/>
      <c r="SPM1223" s="3"/>
      <c r="SPN1223" s="4"/>
      <c r="SPO1223" s="4"/>
      <c r="SPP1223" s="18"/>
      <c r="SPQ1223" s="3"/>
      <c r="SPR1223" s="4"/>
      <c r="SPS1223" s="4"/>
      <c r="SPT1223" s="18"/>
      <c r="SPU1223" s="3"/>
      <c r="SPV1223" s="4"/>
      <c r="SPW1223" s="4"/>
      <c r="SPX1223" s="18"/>
      <c r="SPY1223" s="3"/>
      <c r="SPZ1223" s="4"/>
      <c r="SQA1223" s="4"/>
      <c r="SQB1223" s="18"/>
      <c r="SQC1223" s="3"/>
      <c r="SQD1223" s="4"/>
      <c r="SQE1223" s="4"/>
      <c r="SQF1223" s="18"/>
      <c r="SQG1223" s="3"/>
      <c r="SQH1223" s="4"/>
      <c r="SQI1223" s="4"/>
      <c r="SQJ1223" s="18"/>
      <c r="SQK1223" s="3"/>
      <c r="SQL1223" s="4"/>
      <c r="SQM1223" s="4"/>
      <c r="SQN1223" s="18"/>
      <c r="SQO1223" s="3"/>
      <c r="SQP1223" s="4"/>
      <c r="SQQ1223" s="4"/>
      <c r="SQR1223" s="18"/>
      <c r="SQS1223" s="3"/>
      <c r="SQT1223" s="4"/>
      <c r="SQU1223" s="4"/>
      <c r="SQV1223" s="18"/>
      <c r="SQW1223" s="3"/>
      <c r="SQX1223" s="4"/>
      <c r="SQY1223" s="4"/>
      <c r="SQZ1223" s="18"/>
      <c r="SRA1223" s="3"/>
      <c r="SRB1223" s="4"/>
      <c r="SRC1223" s="4"/>
      <c r="SRD1223" s="18"/>
      <c r="SRE1223" s="3"/>
      <c r="SRF1223" s="4"/>
      <c r="SRG1223" s="4"/>
      <c r="SRH1223" s="18"/>
      <c r="SRI1223" s="3"/>
      <c r="SRJ1223" s="4"/>
      <c r="SRK1223" s="4"/>
      <c r="SRL1223" s="18"/>
      <c r="SRM1223" s="3"/>
      <c r="SRN1223" s="4"/>
      <c r="SRO1223" s="4"/>
      <c r="SRP1223" s="18"/>
      <c r="SRQ1223" s="3"/>
      <c r="SRR1223" s="4"/>
      <c r="SRS1223" s="4"/>
      <c r="SRT1223" s="18"/>
      <c r="SRU1223" s="3"/>
      <c r="SRV1223" s="4"/>
      <c r="SRW1223" s="4"/>
      <c r="SRX1223" s="18"/>
      <c r="SRY1223" s="3"/>
      <c r="SRZ1223" s="4"/>
      <c r="SSA1223" s="4"/>
      <c r="SSB1223" s="18"/>
      <c r="SSC1223" s="3"/>
      <c r="SSD1223" s="4"/>
      <c r="SSE1223" s="4"/>
      <c r="SSF1223" s="18"/>
      <c r="SSG1223" s="3"/>
      <c r="SSH1223" s="4"/>
      <c r="SSI1223" s="4"/>
      <c r="SSJ1223" s="18"/>
      <c r="SSK1223" s="3"/>
      <c r="SSL1223" s="4"/>
      <c r="SSM1223" s="4"/>
      <c r="SSN1223" s="18"/>
      <c r="SSO1223" s="3"/>
      <c r="SSP1223" s="4"/>
      <c r="SSQ1223" s="4"/>
      <c r="SSR1223" s="18"/>
      <c r="SSS1223" s="3"/>
      <c r="SST1223" s="4"/>
      <c r="SSU1223" s="4"/>
      <c r="SSV1223" s="18"/>
      <c r="SSW1223" s="3"/>
      <c r="SSX1223" s="4"/>
      <c r="SSY1223" s="4"/>
      <c r="SSZ1223" s="18"/>
      <c r="STA1223" s="3"/>
      <c r="STB1223" s="4"/>
      <c r="STC1223" s="4"/>
      <c r="STD1223" s="18"/>
      <c r="STE1223" s="3"/>
      <c r="STF1223" s="4"/>
      <c r="STG1223" s="4"/>
      <c r="STH1223" s="18"/>
      <c r="STI1223" s="3"/>
      <c r="STJ1223" s="4"/>
      <c r="STK1223" s="4"/>
      <c r="STL1223" s="18"/>
      <c r="STM1223" s="3"/>
      <c r="STN1223" s="4"/>
      <c r="STO1223" s="4"/>
      <c r="STP1223" s="18"/>
      <c r="STQ1223" s="3"/>
      <c r="STR1223" s="4"/>
      <c r="STS1223" s="4"/>
      <c r="STT1223" s="18"/>
      <c r="STU1223" s="3"/>
      <c r="STV1223" s="4"/>
      <c r="STW1223" s="4"/>
      <c r="STX1223" s="18"/>
      <c r="STY1223" s="3"/>
      <c r="STZ1223" s="4"/>
      <c r="SUA1223" s="4"/>
      <c r="SUB1223" s="18"/>
      <c r="SUC1223" s="3"/>
      <c r="SUD1223" s="4"/>
      <c r="SUE1223" s="4"/>
      <c r="SUF1223" s="18"/>
      <c r="SUG1223" s="3"/>
      <c r="SUH1223" s="4"/>
      <c r="SUI1223" s="4"/>
      <c r="SUJ1223" s="18"/>
      <c r="SUK1223" s="3"/>
      <c r="SUL1223" s="4"/>
      <c r="SUM1223" s="4"/>
      <c r="SUN1223" s="18"/>
      <c r="SUO1223" s="3"/>
      <c r="SUP1223" s="4"/>
      <c r="SUQ1223" s="4"/>
      <c r="SUR1223" s="18"/>
      <c r="SUS1223" s="3"/>
      <c r="SUT1223" s="4"/>
      <c r="SUU1223" s="4"/>
      <c r="SUV1223" s="18"/>
      <c r="SUW1223" s="3"/>
      <c r="SUX1223" s="4"/>
      <c r="SUY1223" s="4"/>
      <c r="SUZ1223" s="18"/>
      <c r="SVA1223" s="3"/>
      <c r="SVB1223" s="4"/>
      <c r="SVC1223" s="4"/>
      <c r="SVD1223" s="18"/>
      <c r="SVE1223" s="3"/>
      <c r="SVF1223" s="4"/>
      <c r="SVG1223" s="4"/>
      <c r="SVH1223" s="18"/>
      <c r="SVI1223" s="3"/>
      <c r="SVJ1223" s="4"/>
      <c r="SVK1223" s="4"/>
      <c r="SVL1223" s="18"/>
      <c r="SVM1223" s="3"/>
      <c r="SVN1223" s="4"/>
      <c r="SVO1223" s="4"/>
      <c r="SVP1223" s="18"/>
      <c r="SVQ1223" s="3"/>
      <c r="SVR1223" s="4"/>
      <c r="SVS1223" s="4"/>
      <c r="SVT1223" s="18"/>
      <c r="SVU1223" s="3"/>
      <c r="SVV1223" s="4"/>
      <c r="SVW1223" s="4"/>
      <c r="SVX1223" s="18"/>
      <c r="SVY1223" s="3"/>
      <c r="SVZ1223" s="4"/>
      <c r="SWA1223" s="4"/>
      <c r="SWB1223" s="18"/>
      <c r="SWC1223" s="3"/>
      <c r="SWD1223" s="4"/>
      <c r="SWE1223" s="4"/>
      <c r="SWF1223" s="18"/>
      <c r="SWG1223" s="3"/>
      <c r="SWH1223" s="4"/>
      <c r="SWI1223" s="4"/>
      <c r="SWJ1223" s="18"/>
      <c r="SWK1223" s="3"/>
      <c r="SWL1223" s="4"/>
      <c r="SWM1223" s="4"/>
      <c r="SWN1223" s="18"/>
      <c r="SWO1223" s="3"/>
      <c r="SWP1223" s="4"/>
      <c r="SWQ1223" s="4"/>
      <c r="SWR1223" s="18"/>
      <c r="SWS1223" s="3"/>
      <c r="SWT1223" s="4"/>
      <c r="SWU1223" s="4"/>
      <c r="SWV1223" s="18"/>
      <c r="SWW1223" s="3"/>
      <c r="SWX1223" s="4"/>
      <c r="SWY1223" s="4"/>
      <c r="SWZ1223" s="18"/>
      <c r="SXA1223" s="3"/>
      <c r="SXB1223" s="4"/>
      <c r="SXC1223" s="4"/>
      <c r="SXD1223" s="18"/>
      <c r="SXE1223" s="3"/>
      <c r="SXF1223" s="4"/>
      <c r="SXG1223" s="4"/>
      <c r="SXH1223" s="18"/>
      <c r="SXI1223" s="3"/>
      <c r="SXJ1223" s="4"/>
      <c r="SXK1223" s="4"/>
      <c r="SXL1223" s="18"/>
      <c r="SXM1223" s="3"/>
      <c r="SXN1223" s="4"/>
      <c r="SXO1223" s="4"/>
      <c r="SXP1223" s="18"/>
      <c r="SXQ1223" s="3"/>
      <c r="SXR1223" s="4"/>
      <c r="SXS1223" s="4"/>
      <c r="SXT1223" s="18"/>
      <c r="SXU1223" s="3"/>
      <c r="SXV1223" s="4"/>
      <c r="SXW1223" s="4"/>
      <c r="SXX1223" s="18"/>
      <c r="SXY1223" s="3"/>
      <c r="SXZ1223" s="4"/>
      <c r="SYA1223" s="4"/>
      <c r="SYB1223" s="18"/>
      <c r="SYC1223" s="3"/>
      <c r="SYD1223" s="4"/>
      <c r="SYE1223" s="4"/>
      <c r="SYF1223" s="18"/>
      <c r="SYG1223" s="3"/>
      <c r="SYH1223" s="4"/>
      <c r="SYI1223" s="4"/>
      <c r="SYJ1223" s="18"/>
      <c r="SYK1223" s="3"/>
      <c r="SYL1223" s="4"/>
      <c r="SYM1223" s="4"/>
      <c r="SYN1223" s="18"/>
      <c r="SYO1223" s="3"/>
      <c r="SYP1223" s="4"/>
      <c r="SYQ1223" s="4"/>
      <c r="SYR1223" s="18"/>
      <c r="SYS1223" s="3"/>
      <c r="SYT1223" s="4"/>
      <c r="SYU1223" s="4"/>
      <c r="SYV1223" s="18"/>
      <c r="SYW1223" s="3"/>
      <c r="SYX1223" s="4"/>
      <c r="SYY1223" s="4"/>
      <c r="SYZ1223" s="18"/>
      <c r="SZA1223" s="3"/>
      <c r="SZB1223" s="4"/>
      <c r="SZC1223" s="4"/>
      <c r="SZD1223" s="18"/>
      <c r="SZE1223" s="3"/>
      <c r="SZF1223" s="4"/>
      <c r="SZG1223" s="4"/>
      <c r="SZH1223" s="18"/>
      <c r="SZI1223" s="3"/>
      <c r="SZJ1223" s="4"/>
      <c r="SZK1223" s="4"/>
      <c r="SZL1223" s="18"/>
      <c r="SZM1223" s="3"/>
      <c r="SZN1223" s="4"/>
      <c r="SZO1223" s="4"/>
      <c r="SZP1223" s="18"/>
      <c r="SZQ1223" s="3"/>
      <c r="SZR1223" s="4"/>
      <c r="SZS1223" s="4"/>
      <c r="SZT1223" s="18"/>
      <c r="SZU1223" s="3"/>
      <c r="SZV1223" s="4"/>
      <c r="SZW1223" s="4"/>
      <c r="SZX1223" s="18"/>
      <c r="SZY1223" s="3"/>
      <c r="SZZ1223" s="4"/>
      <c r="TAA1223" s="4"/>
      <c r="TAB1223" s="18"/>
      <c r="TAC1223" s="3"/>
      <c r="TAD1223" s="4"/>
      <c r="TAE1223" s="4"/>
      <c r="TAF1223" s="18"/>
      <c r="TAG1223" s="3"/>
      <c r="TAH1223" s="4"/>
      <c r="TAI1223" s="4"/>
      <c r="TAJ1223" s="18"/>
      <c r="TAK1223" s="3"/>
      <c r="TAL1223" s="4"/>
      <c r="TAM1223" s="4"/>
      <c r="TAN1223" s="18"/>
      <c r="TAO1223" s="3"/>
      <c r="TAP1223" s="4"/>
      <c r="TAQ1223" s="4"/>
      <c r="TAR1223" s="18"/>
      <c r="TAS1223" s="3"/>
      <c r="TAT1223" s="4"/>
      <c r="TAU1223" s="4"/>
      <c r="TAV1223" s="18"/>
      <c r="TAW1223" s="3"/>
      <c r="TAX1223" s="4"/>
      <c r="TAY1223" s="4"/>
      <c r="TAZ1223" s="18"/>
      <c r="TBA1223" s="3"/>
      <c r="TBB1223" s="4"/>
      <c r="TBC1223" s="4"/>
      <c r="TBD1223" s="18"/>
      <c r="TBE1223" s="3"/>
      <c r="TBF1223" s="4"/>
      <c r="TBG1223" s="4"/>
      <c r="TBH1223" s="18"/>
      <c r="TBI1223" s="3"/>
      <c r="TBJ1223" s="4"/>
      <c r="TBK1223" s="4"/>
      <c r="TBL1223" s="18"/>
      <c r="TBM1223" s="3"/>
      <c r="TBN1223" s="4"/>
      <c r="TBO1223" s="4"/>
      <c r="TBP1223" s="18"/>
      <c r="TBQ1223" s="3"/>
      <c r="TBR1223" s="4"/>
      <c r="TBS1223" s="4"/>
      <c r="TBT1223" s="18"/>
      <c r="TBU1223" s="3"/>
      <c r="TBV1223" s="4"/>
      <c r="TBW1223" s="4"/>
      <c r="TBX1223" s="18"/>
      <c r="TBY1223" s="3"/>
      <c r="TBZ1223" s="4"/>
      <c r="TCA1223" s="4"/>
      <c r="TCB1223" s="18"/>
      <c r="TCC1223" s="3"/>
      <c r="TCD1223" s="4"/>
      <c r="TCE1223" s="4"/>
      <c r="TCF1223" s="18"/>
      <c r="TCG1223" s="3"/>
      <c r="TCH1223" s="4"/>
      <c r="TCI1223" s="4"/>
      <c r="TCJ1223" s="18"/>
      <c r="TCK1223" s="3"/>
      <c r="TCL1223" s="4"/>
      <c r="TCM1223" s="4"/>
      <c r="TCN1223" s="18"/>
      <c r="TCO1223" s="3"/>
      <c r="TCP1223" s="4"/>
      <c r="TCQ1223" s="4"/>
      <c r="TCR1223" s="18"/>
      <c r="TCS1223" s="3"/>
      <c r="TCT1223" s="4"/>
      <c r="TCU1223" s="4"/>
      <c r="TCV1223" s="18"/>
      <c r="TCW1223" s="3"/>
      <c r="TCX1223" s="4"/>
      <c r="TCY1223" s="4"/>
      <c r="TCZ1223" s="18"/>
      <c r="TDA1223" s="3"/>
      <c r="TDB1223" s="4"/>
      <c r="TDC1223" s="4"/>
      <c r="TDD1223" s="18"/>
      <c r="TDE1223" s="3"/>
      <c r="TDF1223" s="4"/>
      <c r="TDG1223" s="4"/>
      <c r="TDH1223" s="18"/>
      <c r="TDI1223" s="3"/>
      <c r="TDJ1223" s="4"/>
      <c r="TDK1223" s="4"/>
      <c r="TDL1223" s="18"/>
      <c r="TDM1223" s="3"/>
      <c r="TDN1223" s="4"/>
      <c r="TDO1223" s="4"/>
      <c r="TDP1223" s="18"/>
      <c r="TDQ1223" s="3"/>
      <c r="TDR1223" s="4"/>
      <c r="TDS1223" s="4"/>
      <c r="TDT1223" s="18"/>
      <c r="TDU1223" s="3"/>
      <c r="TDV1223" s="4"/>
      <c r="TDW1223" s="4"/>
      <c r="TDX1223" s="18"/>
      <c r="TDY1223" s="3"/>
      <c r="TDZ1223" s="4"/>
      <c r="TEA1223" s="4"/>
      <c r="TEB1223" s="18"/>
      <c r="TEC1223" s="3"/>
      <c r="TED1223" s="4"/>
      <c r="TEE1223" s="4"/>
      <c r="TEF1223" s="18"/>
      <c r="TEG1223" s="3"/>
      <c r="TEH1223" s="4"/>
      <c r="TEI1223" s="4"/>
      <c r="TEJ1223" s="18"/>
      <c r="TEK1223" s="3"/>
      <c r="TEL1223" s="4"/>
      <c r="TEM1223" s="4"/>
      <c r="TEN1223" s="18"/>
      <c r="TEO1223" s="3"/>
      <c r="TEP1223" s="4"/>
      <c r="TEQ1223" s="4"/>
      <c r="TER1223" s="18"/>
      <c r="TES1223" s="3"/>
      <c r="TET1223" s="4"/>
      <c r="TEU1223" s="4"/>
      <c r="TEV1223" s="18"/>
      <c r="TEW1223" s="3"/>
      <c r="TEX1223" s="4"/>
      <c r="TEY1223" s="4"/>
      <c r="TEZ1223" s="18"/>
      <c r="TFA1223" s="3"/>
      <c r="TFB1223" s="4"/>
      <c r="TFC1223" s="4"/>
      <c r="TFD1223" s="18"/>
      <c r="TFE1223" s="3"/>
      <c r="TFF1223" s="4"/>
      <c r="TFG1223" s="4"/>
      <c r="TFH1223" s="18"/>
      <c r="TFI1223" s="3"/>
      <c r="TFJ1223" s="4"/>
      <c r="TFK1223" s="4"/>
      <c r="TFL1223" s="18"/>
      <c r="TFM1223" s="3"/>
      <c r="TFN1223" s="4"/>
      <c r="TFO1223" s="4"/>
      <c r="TFP1223" s="18"/>
      <c r="TFQ1223" s="3"/>
      <c r="TFR1223" s="4"/>
      <c r="TFS1223" s="4"/>
      <c r="TFT1223" s="18"/>
      <c r="TFU1223" s="3"/>
      <c r="TFV1223" s="4"/>
      <c r="TFW1223" s="4"/>
      <c r="TFX1223" s="18"/>
      <c r="TFY1223" s="3"/>
      <c r="TFZ1223" s="4"/>
      <c r="TGA1223" s="4"/>
      <c r="TGB1223" s="18"/>
      <c r="TGC1223" s="3"/>
      <c r="TGD1223" s="4"/>
      <c r="TGE1223" s="4"/>
      <c r="TGF1223" s="18"/>
      <c r="TGG1223" s="3"/>
      <c r="TGH1223" s="4"/>
      <c r="TGI1223" s="4"/>
      <c r="TGJ1223" s="18"/>
      <c r="TGK1223" s="3"/>
      <c r="TGL1223" s="4"/>
      <c r="TGM1223" s="4"/>
      <c r="TGN1223" s="18"/>
      <c r="TGO1223" s="3"/>
      <c r="TGP1223" s="4"/>
      <c r="TGQ1223" s="4"/>
      <c r="TGR1223" s="18"/>
      <c r="TGS1223" s="3"/>
      <c r="TGT1223" s="4"/>
      <c r="TGU1223" s="4"/>
      <c r="TGV1223" s="18"/>
      <c r="TGW1223" s="3"/>
      <c r="TGX1223" s="4"/>
      <c r="TGY1223" s="4"/>
      <c r="TGZ1223" s="18"/>
      <c r="THA1223" s="3"/>
      <c r="THB1223" s="4"/>
      <c r="THC1223" s="4"/>
      <c r="THD1223" s="18"/>
      <c r="THE1223" s="3"/>
      <c r="THF1223" s="4"/>
      <c r="THG1223" s="4"/>
      <c r="THH1223" s="18"/>
      <c r="THI1223" s="3"/>
      <c r="THJ1223" s="4"/>
      <c r="THK1223" s="4"/>
      <c r="THL1223" s="18"/>
      <c r="THM1223" s="3"/>
      <c r="THN1223" s="4"/>
      <c r="THO1223" s="4"/>
      <c r="THP1223" s="18"/>
      <c r="THQ1223" s="3"/>
      <c r="THR1223" s="4"/>
      <c r="THS1223" s="4"/>
      <c r="THT1223" s="18"/>
      <c r="THU1223" s="3"/>
      <c r="THV1223" s="4"/>
      <c r="THW1223" s="4"/>
      <c r="THX1223" s="18"/>
      <c r="THY1223" s="3"/>
      <c r="THZ1223" s="4"/>
      <c r="TIA1223" s="4"/>
      <c r="TIB1223" s="18"/>
      <c r="TIC1223" s="3"/>
      <c r="TID1223" s="4"/>
      <c r="TIE1223" s="4"/>
      <c r="TIF1223" s="18"/>
      <c r="TIG1223" s="3"/>
      <c r="TIH1223" s="4"/>
      <c r="TII1223" s="4"/>
      <c r="TIJ1223" s="18"/>
      <c r="TIK1223" s="3"/>
      <c r="TIL1223" s="4"/>
      <c r="TIM1223" s="4"/>
      <c r="TIN1223" s="18"/>
      <c r="TIO1223" s="3"/>
      <c r="TIP1223" s="4"/>
      <c r="TIQ1223" s="4"/>
      <c r="TIR1223" s="18"/>
      <c r="TIS1223" s="3"/>
      <c r="TIT1223" s="4"/>
      <c r="TIU1223" s="4"/>
      <c r="TIV1223" s="18"/>
      <c r="TIW1223" s="3"/>
      <c r="TIX1223" s="4"/>
      <c r="TIY1223" s="4"/>
      <c r="TIZ1223" s="18"/>
      <c r="TJA1223" s="3"/>
      <c r="TJB1223" s="4"/>
      <c r="TJC1223" s="4"/>
      <c r="TJD1223" s="18"/>
      <c r="TJE1223" s="3"/>
      <c r="TJF1223" s="4"/>
      <c r="TJG1223" s="4"/>
      <c r="TJH1223" s="18"/>
      <c r="TJI1223" s="3"/>
      <c r="TJJ1223" s="4"/>
      <c r="TJK1223" s="4"/>
      <c r="TJL1223" s="18"/>
      <c r="TJM1223" s="3"/>
      <c r="TJN1223" s="4"/>
      <c r="TJO1223" s="4"/>
      <c r="TJP1223" s="18"/>
      <c r="TJQ1223" s="3"/>
      <c r="TJR1223" s="4"/>
      <c r="TJS1223" s="4"/>
      <c r="TJT1223" s="18"/>
      <c r="TJU1223" s="3"/>
      <c r="TJV1223" s="4"/>
      <c r="TJW1223" s="4"/>
      <c r="TJX1223" s="18"/>
      <c r="TJY1223" s="3"/>
      <c r="TJZ1223" s="4"/>
      <c r="TKA1223" s="4"/>
      <c r="TKB1223" s="18"/>
      <c r="TKC1223" s="3"/>
      <c r="TKD1223" s="4"/>
      <c r="TKE1223" s="4"/>
      <c r="TKF1223" s="18"/>
      <c r="TKG1223" s="3"/>
      <c r="TKH1223" s="4"/>
      <c r="TKI1223" s="4"/>
      <c r="TKJ1223" s="18"/>
      <c r="TKK1223" s="3"/>
      <c r="TKL1223" s="4"/>
      <c r="TKM1223" s="4"/>
      <c r="TKN1223" s="18"/>
      <c r="TKO1223" s="3"/>
      <c r="TKP1223" s="4"/>
      <c r="TKQ1223" s="4"/>
      <c r="TKR1223" s="18"/>
      <c r="TKS1223" s="3"/>
      <c r="TKT1223" s="4"/>
      <c r="TKU1223" s="4"/>
      <c r="TKV1223" s="18"/>
      <c r="TKW1223" s="3"/>
      <c r="TKX1223" s="4"/>
      <c r="TKY1223" s="4"/>
      <c r="TKZ1223" s="18"/>
      <c r="TLA1223" s="3"/>
      <c r="TLB1223" s="4"/>
      <c r="TLC1223" s="4"/>
      <c r="TLD1223" s="18"/>
      <c r="TLE1223" s="3"/>
      <c r="TLF1223" s="4"/>
      <c r="TLG1223" s="4"/>
      <c r="TLH1223" s="18"/>
      <c r="TLI1223" s="3"/>
      <c r="TLJ1223" s="4"/>
      <c r="TLK1223" s="4"/>
      <c r="TLL1223" s="18"/>
      <c r="TLM1223" s="3"/>
      <c r="TLN1223" s="4"/>
      <c r="TLO1223" s="4"/>
      <c r="TLP1223" s="18"/>
      <c r="TLQ1223" s="3"/>
      <c r="TLR1223" s="4"/>
      <c r="TLS1223" s="4"/>
      <c r="TLT1223" s="18"/>
      <c r="TLU1223" s="3"/>
      <c r="TLV1223" s="4"/>
      <c r="TLW1223" s="4"/>
      <c r="TLX1223" s="18"/>
      <c r="TLY1223" s="3"/>
      <c r="TLZ1223" s="4"/>
      <c r="TMA1223" s="4"/>
      <c r="TMB1223" s="18"/>
      <c r="TMC1223" s="3"/>
      <c r="TMD1223" s="4"/>
      <c r="TME1223" s="4"/>
      <c r="TMF1223" s="18"/>
      <c r="TMG1223" s="3"/>
      <c r="TMH1223" s="4"/>
      <c r="TMI1223" s="4"/>
      <c r="TMJ1223" s="18"/>
      <c r="TMK1223" s="3"/>
      <c r="TML1223" s="4"/>
      <c r="TMM1223" s="4"/>
      <c r="TMN1223" s="18"/>
      <c r="TMO1223" s="3"/>
      <c r="TMP1223" s="4"/>
      <c r="TMQ1223" s="4"/>
      <c r="TMR1223" s="18"/>
      <c r="TMS1223" s="3"/>
      <c r="TMT1223" s="4"/>
      <c r="TMU1223" s="4"/>
      <c r="TMV1223" s="18"/>
      <c r="TMW1223" s="3"/>
      <c r="TMX1223" s="4"/>
      <c r="TMY1223" s="4"/>
      <c r="TMZ1223" s="18"/>
      <c r="TNA1223" s="3"/>
      <c r="TNB1223" s="4"/>
      <c r="TNC1223" s="4"/>
      <c r="TND1223" s="18"/>
      <c r="TNE1223" s="3"/>
      <c r="TNF1223" s="4"/>
      <c r="TNG1223" s="4"/>
      <c r="TNH1223" s="18"/>
      <c r="TNI1223" s="3"/>
      <c r="TNJ1223" s="4"/>
      <c r="TNK1223" s="4"/>
      <c r="TNL1223" s="18"/>
      <c r="TNM1223" s="3"/>
      <c r="TNN1223" s="4"/>
      <c r="TNO1223" s="4"/>
      <c r="TNP1223" s="18"/>
      <c r="TNQ1223" s="3"/>
      <c r="TNR1223" s="4"/>
      <c r="TNS1223" s="4"/>
      <c r="TNT1223" s="18"/>
      <c r="TNU1223" s="3"/>
      <c r="TNV1223" s="4"/>
      <c r="TNW1223" s="4"/>
      <c r="TNX1223" s="18"/>
      <c r="TNY1223" s="3"/>
      <c r="TNZ1223" s="4"/>
      <c r="TOA1223" s="4"/>
      <c r="TOB1223" s="18"/>
      <c r="TOC1223" s="3"/>
      <c r="TOD1223" s="4"/>
      <c r="TOE1223" s="4"/>
      <c r="TOF1223" s="18"/>
      <c r="TOG1223" s="3"/>
      <c r="TOH1223" s="4"/>
      <c r="TOI1223" s="4"/>
      <c r="TOJ1223" s="18"/>
      <c r="TOK1223" s="3"/>
      <c r="TOL1223" s="4"/>
      <c r="TOM1223" s="4"/>
      <c r="TON1223" s="18"/>
      <c r="TOO1223" s="3"/>
      <c r="TOP1223" s="4"/>
      <c r="TOQ1223" s="4"/>
      <c r="TOR1223" s="18"/>
      <c r="TOS1223" s="3"/>
      <c r="TOT1223" s="4"/>
      <c r="TOU1223" s="4"/>
      <c r="TOV1223" s="18"/>
      <c r="TOW1223" s="3"/>
      <c r="TOX1223" s="4"/>
      <c r="TOY1223" s="4"/>
      <c r="TOZ1223" s="18"/>
      <c r="TPA1223" s="3"/>
      <c r="TPB1223" s="4"/>
      <c r="TPC1223" s="4"/>
      <c r="TPD1223" s="18"/>
      <c r="TPE1223" s="3"/>
      <c r="TPF1223" s="4"/>
      <c r="TPG1223" s="4"/>
      <c r="TPH1223" s="18"/>
      <c r="TPI1223" s="3"/>
      <c r="TPJ1223" s="4"/>
      <c r="TPK1223" s="4"/>
      <c r="TPL1223" s="18"/>
      <c r="TPM1223" s="3"/>
      <c r="TPN1223" s="4"/>
      <c r="TPO1223" s="4"/>
      <c r="TPP1223" s="18"/>
      <c r="TPQ1223" s="3"/>
      <c r="TPR1223" s="4"/>
      <c r="TPS1223" s="4"/>
      <c r="TPT1223" s="18"/>
      <c r="TPU1223" s="3"/>
      <c r="TPV1223" s="4"/>
      <c r="TPW1223" s="4"/>
      <c r="TPX1223" s="18"/>
      <c r="TPY1223" s="3"/>
      <c r="TPZ1223" s="4"/>
      <c r="TQA1223" s="4"/>
      <c r="TQB1223" s="18"/>
      <c r="TQC1223" s="3"/>
      <c r="TQD1223" s="4"/>
      <c r="TQE1223" s="4"/>
      <c r="TQF1223" s="18"/>
      <c r="TQG1223" s="3"/>
      <c r="TQH1223" s="4"/>
      <c r="TQI1223" s="4"/>
      <c r="TQJ1223" s="18"/>
      <c r="TQK1223" s="3"/>
      <c r="TQL1223" s="4"/>
      <c r="TQM1223" s="4"/>
      <c r="TQN1223" s="18"/>
      <c r="TQO1223" s="3"/>
      <c r="TQP1223" s="4"/>
      <c r="TQQ1223" s="4"/>
      <c r="TQR1223" s="18"/>
      <c r="TQS1223" s="3"/>
      <c r="TQT1223" s="4"/>
      <c r="TQU1223" s="4"/>
      <c r="TQV1223" s="18"/>
      <c r="TQW1223" s="3"/>
      <c r="TQX1223" s="4"/>
      <c r="TQY1223" s="4"/>
      <c r="TQZ1223" s="18"/>
      <c r="TRA1223" s="3"/>
      <c r="TRB1223" s="4"/>
      <c r="TRC1223" s="4"/>
      <c r="TRD1223" s="18"/>
      <c r="TRE1223" s="3"/>
      <c r="TRF1223" s="4"/>
      <c r="TRG1223" s="4"/>
      <c r="TRH1223" s="18"/>
      <c r="TRI1223" s="3"/>
      <c r="TRJ1223" s="4"/>
      <c r="TRK1223" s="4"/>
      <c r="TRL1223" s="18"/>
      <c r="TRM1223" s="3"/>
      <c r="TRN1223" s="4"/>
      <c r="TRO1223" s="4"/>
      <c r="TRP1223" s="18"/>
      <c r="TRQ1223" s="3"/>
      <c r="TRR1223" s="4"/>
      <c r="TRS1223" s="4"/>
      <c r="TRT1223" s="18"/>
      <c r="TRU1223" s="3"/>
      <c r="TRV1223" s="4"/>
      <c r="TRW1223" s="4"/>
      <c r="TRX1223" s="18"/>
      <c r="TRY1223" s="3"/>
      <c r="TRZ1223" s="4"/>
      <c r="TSA1223" s="4"/>
      <c r="TSB1223" s="18"/>
      <c r="TSC1223" s="3"/>
      <c r="TSD1223" s="4"/>
      <c r="TSE1223" s="4"/>
      <c r="TSF1223" s="18"/>
      <c r="TSG1223" s="3"/>
      <c r="TSH1223" s="4"/>
      <c r="TSI1223" s="4"/>
      <c r="TSJ1223" s="18"/>
      <c r="TSK1223" s="3"/>
      <c r="TSL1223" s="4"/>
      <c r="TSM1223" s="4"/>
      <c r="TSN1223" s="18"/>
      <c r="TSO1223" s="3"/>
      <c r="TSP1223" s="4"/>
      <c r="TSQ1223" s="4"/>
      <c r="TSR1223" s="18"/>
      <c r="TSS1223" s="3"/>
      <c r="TST1223" s="4"/>
      <c r="TSU1223" s="4"/>
      <c r="TSV1223" s="18"/>
      <c r="TSW1223" s="3"/>
      <c r="TSX1223" s="4"/>
      <c r="TSY1223" s="4"/>
      <c r="TSZ1223" s="18"/>
      <c r="TTA1223" s="3"/>
      <c r="TTB1223" s="4"/>
      <c r="TTC1223" s="4"/>
      <c r="TTD1223" s="18"/>
      <c r="TTE1223" s="3"/>
      <c r="TTF1223" s="4"/>
      <c r="TTG1223" s="4"/>
      <c r="TTH1223" s="18"/>
      <c r="TTI1223" s="3"/>
      <c r="TTJ1223" s="4"/>
      <c r="TTK1223" s="4"/>
      <c r="TTL1223" s="18"/>
      <c r="TTM1223" s="3"/>
      <c r="TTN1223" s="4"/>
      <c r="TTO1223" s="4"/>
      <c r="TTP1223" s="18"/>
      <c r="TTQ1223" s="3"/>
      <c r="TTR1223" s="4"/>
      <c r="TTS1223" s="4"/>
      <c r="TTT1223" s="18"/>
      <c r="TTU1223" s="3"/>
      <c r="TTV1223" s="4"/>
      <c r="TTW1223" s="4"/>
      <c r="TTX1223" s="18"/>
      <c r="TTY1223" s="3"/>
      <c r="TTZ1223" s="4"/>
      <c r="TUA1223" s="4"/>
      <c r="TUB1223" s="18"/>
      <c r="TUC1223" s="3"/>
      <c r="TUD1223" s="4"/>
      <c r="TUE1223" s="4"/>
      <c r="TUF1223" s="18"/>
      <c r="TUG1223" s="3"/>
      <c r="TUH1223" s="4"/>
      <c r="TUI1223" s="4"/>
      <c r="TUJ1223" s="18"/>
      <c r="TUK1223" s="3"/>
      <c r="TUL1223" s="4"/>
      <c r="TUM1223" s="4"/>
      <c r="TUN1223" s="18"/>
      <c r="TUO1223" s="3"/>
      <c r="TUP1223" s="4"/>
      <c r="TUQ1223" s="4"/>
      <c r="TUR1223" s="18"/>
      <c r="TUS1223" s="3"/>
      <c r="TUT1223" s="4"/>
      <c r="TUU1223" s="4"/>
      <c r="TUV1223" s="18"/>
      <c r="TUW1223" s="3"/>
      <c r="TUX1223" s="4"/>
      <c r="TUY1223" s="4"/>
      <c r="TUZ1223" s="18"/>
      <c r="TVA1223" s="3"/>
      <c r="TVB1223" s="4"/>
      <c r="TVC1223" s="4"/>
      <c r="TVD1223" s="18"/>
      <c r="TVE1223" s="3"/>
      <c r="TVF1223" s="4"/>
      <c r="TVG1223" s="4"/>
      <c r="TVH1223" s="18"/>
      <c r="TVI1223" s="3"/>
      <c r="TVJ1223" s="4"/>
      <c r="TVK1223" s="4"/>
      <c r="TVL1223" s="18"/>
      <c r="TVM1223" s="3"/>
      <c r="TVN1223" s="4"/>
      <c r="TVO1223" s="4"/>
      <c r="TVP1223" s="18"/>
      <c r="TVQ1223" s="3"/>
      <c r="TVR1223" s="4"/>
      <c r="TVS1223" s="4"/>
      <c r="TVT1223" s="18"/>
      <c r="TVU1223" s="3"/>
      <c r="TVV1223" s="4"/>
      <c r="TVW1223" s="4"/>
      <c r="TVX1223" s="18"/>
      <c r="TVY1223" s="3"/>
      <c r="TVZ1223" s="4"/>
      <c r="TWA1223" s="4"/>
      <c r="TWB1223" s="18"/>
      <c r="TWC1223" s="3"/>
      <c r="TWD1223" s="4"/>
      <c r="TWE1223" s="4"/>
      <c r="TWF1223" s="18"/>
      <c r="TWG1223" s="3"/>
      <c r="TWH1223" s="4"/>
      <c r="TWI1223" s="4"/>
      <c r="TWJ1223" s="18"/>
      <c r="TWK1223" s="3"/>
      <c r="TWL1223" s="4"/>
      <c r="TWM1223" s="4"/>
      <c r="TWN1223" s="18"/>
      <c r="TWO1223" s="3"/>
      <c r="TWP1223" s="4"/>
      <c r="TWQ1223" s="4"/>
      <c r="TWR1223" s="18"/>
      <c r="TWS1223" s="3"/>
      <c r="TWT1223" s="4"/>
      <c r="TWU1223" s="4"/>
      <c r="TWV1223" s="18"/>
      <c r="TWW1223" s="3"/>
      <c r="TWX1223" s="4"/>
      <c r="TWY1223" s="4"/>
      <c r="TWZ1223" s="18"/>
      <c r="TXA1223" s="3"/>
      <c r="TXB1223" s="4"/>
      <c r="TXC1223" s="4"/>
      <c r="TXD1223" s="18"/>
      <c r="TXE1223" s="3"/>
      <c r="TXF1223" s="4"/>
      <c r="TXG1223" s="4"/>
      <c r="TXH1223" s="18"/>
      <c r="TXI1223" s="3"/>
      <c r="TXJ1223" s="4"/>
      <c r="TXK1223" s="4"/>
      <c r="TXL1223" s="18"/>
      <c r="TXM1223" s="3"/>
      <c r="TXN1223" s="4"/>
      <c r="TXO1223" s="4"/>
      <c r="TXP1223" s="18"/>
      <c r="TXQ1223" s="3"/>
      <c r="TXR1223" s="4"/>
      <c r="TXS1223" s="4"/>
      <c r="TXT1223" s="18"/>
      <c r="TXU1223" s="3"/>
      <c r="TXV1223" s="4"/>
      <c r="TXW1223" s="4"/>
      <c r="TXX1223" s="18"/>
      <c r="TXY1223" s="3"/>
      <c r="TXZ1223" s="4"/>
      <c r="TYA1223" s="4"/>
      <c r="TYB1223" s="18"/>
      <c r="TYC1223" s="3"/>
      <c r="TYD1223" s="4"/>
      <c r="TYE1223" s="4"/>
      <c r="TYF1223" s="18"/>
      <c r="TYG1223" s="3"/>
      <c r="TYH1223" s="4"/>
      <c r="TYI1223" s="4"/>
      <c r="TYJ1223" s="18"/>
      <c r="TYK1223" s="3"/>
      <c r="TYL1223" s="4"/>
      <c r="TYM1223" s="4"/>
      <c r="TYN1223" s="18"/>
      <c r="TYO1223" s="3"/>
      <c r="TYP1223" s="4"/>
      <c r="TYQ1223" s="4"/>
      <c r="TYR1223" s="18"/>
      <c r="TYS1223" s="3"/>
      <c r="TYT1223" s="4"/>
      <c r="TYU1223" s="4"/>
      <c r="TYV1223" s="18"/>
      <c r="TYW1223" s="3"/>
      <c r="TYX1223" s="4"/>
      <c r="TYY1223" s="4"/>
      <c r="TYZ1223" s="18"/>
      <c r="TZA1223" s="3"/>
      <c r="TZB1223" s="4"/>
      <c r="TZC1223" s="4"/>
      <c r="TZD1223" s="18"/>
      <c r="TZE1223" s="3"/>
      <c r="TZF1223" s="4"/>
      <c r="TZG1223" s="4"/>
      <c r="TZH1223" s="18"/>
      <c r="TZI1223" s="3"/>
      <c r="TZJ1223" s="4"/>
      <c r="TZK1223" s="4"/>
      <c r="TZL1223" s="18"/>
      <c r="TZM1223" s="3"/>
      <c r="TZN1223" s="4"/>
      <c r="TZO1223" s="4"/>
      <c r="TZP1223" s="18"/>
      <c r="TZQ1223" s="3"/>
      <c r="TZR1223" s="4"/>
      <c r="TZS1223" s="4"/>
      <c r="TZT1223" s="18"/>
      <c r="TZU1223" s="3"/>
      <c r="TZV1223" s="4"/>
      <c r="TZW1223" s="4"/>
      <c r="TZX1223" s="18"/>
      <c r="TZY1223" s="3"/>
      <c r="TZZ1223" s="4"/>
      <c r="UAA1223" s="4"/>
      <c r="UAB1223" s="18"/>
      <c r="UAC1223" s="3"/>
      <c r="UAD1223" s="4"/>
      <c r="UAE1223" s="4"/>
      <c r="UAF1223" s="18"/>
      <c r="UAG1223" s="3"/>
      <c r="UAH1223" s="4"/>
      <c r="UAI1223" s="4"/>
      <c r="UAJ1223" s="18"/>
      <c r="UAK1223" s="3"/>
      <c r="UAL1223" s="4"/>
      <c r="UAM1223" s="4"/>
      <c r="UAN1223" s="18"/>
      <c r="UAO1223" s="3"/>
      <c r="UAP1223" s="4"/>
      <c r="UAQ1223" s="4"/>
      <c r="UAR1223" s="18"/>
      <c r="UAS1223" s="3"/>
      <c r="UAT1223" s="4"/>
      <c r="UAU1223" s="4"/>
      <c r="UAV1223" s="18"/>
      <c r="UAW1223" s="3"/>
      <c r="UAX1223" s="4"/>
      <c r="UAY1223" s="4"/>
      <c r="UAZ1223" s="18"/>
      <c r="UBA1223" s="3"/>
      <c r="UBB1223" s="4"/>
      <c r="UBC1223" s="4"/>
      <c r="UBD1223" s="18"/>
      <c r="UBE1223" s="3"/>
      <c r="UBF1223" s="4"/>
      <c r="UBG1223" s="4"/>
      <c r="UBH1223" s="18"/>
      <c r="UBI1223" s="3"/>
      <c r="UBJ1223" s="4"/>
      <c r="UBK1223" s="4"/>
      <c r="UBL1223" s="18"/>
      <c r="UBM1223" s="3"/>
      <c r="UBN1223" s="4"/>
      <c r="UBO1223" s="4"/>
      <c r="UBP1223" s="18"/>
      <c r="UBQ1223" s="3"/>
      <c r="UBR1223" s="4"/>
      <c r="UBS1223" s="4"/>
      <c r="UBT1223" s="18"/>
      <c r="UBU1223" s="3"/>
      <c r="UBV1223" s="4"/>
      <c r="UBW1223" s="4"/>
      <c r="UBX1223" s="18"/>
      <c r="UBY1223" s="3"/>
      <c r="UBZ1223" s="4"/>
      <c r="UCA1223" s="4"/>
      <c r="UCB1223" s="18"/>
      <c r="UCC1223" s="3"/>
      <c r="UCD1223" s="4"/>
      <c r="UCE1223" s="4"/>
      <c r="UCF1223" s="18"/>
      <c r="UCG1223" s="3"/>
      <c r="UCH1223" s="4"/>
      <c r="UCI1223" s="4"/>
      <c r="UCJ1223" s="18"/>
      <c r="UCK1223" s="3"/>
      <c r="UCL1223" s="4"/>
      <c r="UCM1223" s="4"/>
      <c r="UCN1223" s="18"/>
      <c r="UCO1223" s="3"/>
      <c r="UCP1223" s="4"/>
      <c r="UCQ1223" s="4"/>
      <c r="UCR1223" s="18"/>
      <c r="UCS1223" s="3"/>
      <c r="UCT1223" s="4"/>
      <c r="UCU1223" s="4"/>
      <c r="UCV1223" s="18"/>
      <c r="UCW1223" s="3"/>
      <c r="UCX1223" s="4"/>
      <c r="UCY1223" s="4"/>
      <c r="UCZ1223" s="18"/>
      <c r="UDA1223" s="3"/>
      <c r="UDB1223" s="4"/>
      <c r="UDC1223" s="4"/>
      <c r="UDD1223" s="18"/>
      <c r="UDE1223" s="3"/>
      <c r="UDF1223" s="4"/>
      <c r="UDG1223" s="4"/>
      <c r="UDH1223" s="18"/>
      <c r="UDI1223" s="3"/>
      <c r="UDJ1223" s="4"/>
      <c r="UDK1223" s="4"/>
      <c r="UDL1223" s="18"/>
      <c r="UDM1223" s="3"/>
      <c r="UDN1223" s="4"/>
      <c r="UDO1223" s="4"/>
      <c r="UDP1223" s="18"/>
      <c r="UDQ1223" s="3"/>
      <c r="UDR1223" s="4"/>
      <c r="UDS1223" s="4"/>
      <c r="UDT1223" s="18"/>
      <c r="UDU1223" s="3"/>
      <c r="UDV1223" s="4"/>
      <c r="UDW1223" s="4"/>
      <c r="UDX1223" s="18"/>
      <c r="UDY1223" s="3"/>
      <c r="UDZ1223" s="4"/>
      <c r="UEA1223" s="4"/>
      <c r="UEB1223" s="18"/>
      <c r="UEC1223" s="3"/>
      <c r="UED1223" s="4"/>
      <c r="UEE1223" s="4"/>
      <c r="UEF1223" s="18"/>
      <c r="UEG1223" s="3"/>
      <c r="UEH1223" s="4"/>
      <c r="UEI1223" s="4"/>
      <c r="UEJ1223" s="18"/>
      <c r="UEK1223" s="3"/>
      <c r="UEL1223" s="4"/>
      <c r="UEM1223" s="4"/>
      <c r="UEN1223" s="18"/>
      <c r="UEO1223" s="3"/>
      <c r="UEP1223" s="4"/>
      <c r="UEQ1223" s="4"/>
      <c r="UER1223" s="18"/>
      <c r="UES1223" s="3"/>
      <c r="UET1223" s="4"/>
      <c r="UEU1223" s="4"/>
      <c r="UEV1223" s="18"/>
      <c r="UEW1223" s="3"/>
      <c r="UEX1223" s="4"/>
      <c r="UEY1223" s="4"/>
      <c r="UEZ1223" s="18"/>
      <c r="UFA1223" s="3"/>
      <c r="UFB1223" s="4"/>
      <c r="UFC1223" s="4"/>
      <c r="UFD1223" s="18"/>
      <c r="UFE1223" s="3"/>
      <c r="UFF1223" s="4"/>
      <c r="UFG1223" s="4"/>
      <c r="UFH1223" s="18"/>
      <c r="UFI1223" s="3"/>
      <c r="UFJ1223" s="4"/>
      <c r="UFK1223" s="4"/>
      <c r="UFL1223" s="18"/>
      <c r="UFM1223" s="3"/>
      <c r="UFN1223" s="4"/>
      <c r="UFO1223" s="4"/>
      <c r="UFP1223" s="18"/>
      <c r="UFQ1223" s="3"/>
      <c r="UFR1223" s="4"/>
      <c r="UFS1223" s="4"/>
      <c r="UFT1223" s="18"/>
      <c r="UFU1223" s="3"/>
      <c r="UFV1223" s="4"/>
      <c r="UFW1223" s="4"/>
      <c r="UFX1223" s="18"/>
      <c r="UFY1223" s="3"/>
      <c r="UFZ1223" s="4"/>
      <c r="UGA1223" s="4"/>
      <c r="UGB1223" s="18"/>
      <c r="UGC1223" s="3"/>
      <c r="UGD1223" s="4"/>
      <c r="UGE1223" s="4"/>
      <c r="UGF1223" s="18"/>
      <c r="UGG1223" s="3"/>
      <c r="UGH1223" s="4"/>
      <c r="UGI1223" s="4"/>
      <c r="UGJ1223" s="18"/>
      <c r="UGK1223" s="3"/>
      <c r="UGL1223" s="4"/>
      <c r="UGM1223" s="4"/>
      <c r="UGN1223" s="18"/>
      <c r="UGO1223" s="3"/>
      <c r="UGP1223" s="4"/>
      <c r="UGQ1223" s="4"/>
      <c r="UGR1223" s="18"/>
      <c r="UGS1223" s="3"/>
      <c r="UGT1223" s="4"/>
      <c r="UGU1223" s="4"/>
      <c r="UGV1223" s="18"/>
      <c r="UGW1223" s="3"/>
      <c r="UGX1223" s="4"/>
      <c r="UGY1223" s="4"/>
      <c r="UGZ1223" s="18"/>
      <c r="UHA1223" s="3"/>
      <c r="UHB1223" s="4"/>
      <c r="UHC1223" s="4"/>
      <c r="UHD1223" s="18"/>
      <c r="UHE1223" s="3"/>
      <c r="UHF1223" s="4"/>
      <c r="UHG1223" s="4"/>
      <c r="UHH1223" s="18"/>
      <c r="UHI1223" s="3"/>
      <c r="UHJ1223" s="4"/>
      <c r="UHK1223" s="4"/>
      <c r="UHL1223" s="18"/>
      <c r="UHM1223" s="3"/>
      <c r="UHN1223" s="4"/>
      <c r="UHO1223" s="4"/>
      <c r="UHP1223" s="18"/>
      <c r="UHQ1223" s="3"/>
      <c r="UHR1223" s="4"/>
      <c r="UHS1223" s="4"/>
      <c r="UHT1223" s="18"/>
      <c r="UHU1223" s="3"/>
      <c r="UHV1223" s="4"/>
      <c r="UHW1223" s="4"/>
      <c r="UHX1223" s="18"/>
      <c r="UHY1223" s="3"/>
      <c r="UHZ1223" s="4"/>
      <c r="UIA1223" s="4"/>
      <c r="UIB1223" s="18"/>
      <c r="UIC1223" s="3"/>
      <c r="UID1223" s="4"/>
      <c r="UIE1223" s="4"/>
      <c r="UIF1223" s="18"/>
      <c r="UIG1223" s="3"/>
      <c r="UIH1223" s="4"/>
      <c r="UII1223" s="4"/>
      <c r="UIJ1223" s="18"/>
      <c r="UIK1223" s="3"/>
      <c r="UIL1223" s="4"/>
      <c r="UIM1223" s="4"/>
      <c r="UIN1223" s="18"/>
      <c r="UIO1223" s="3"/>
      <c r="UIP1223" s="4"/>
      <c r="UIQ1223" s="4"/>
      <c r="UIR1223" s="18"/>
      <c r="UIS1223" s="3"/>
      <c r="UIT1223" s="4"/>
      <c r="UIU1223" s="4"/>
      <c r="UIV1223" s="18"/>
      <c r="UIW1223" s="3"/>
      <c r="UIX1223" s="4"/>
      <c r="UIY1223" s="4"/>
      <c r="UIZ1223" s="18"/>
      <c r="UJA1223" s="3"/>
      <c r="UJB1223" s="4"/>
      <c r="UJC1223" s="4"/>
      <c r="UJD1223" s="18"/>
      <c r="UJE1223" s="3"/>
      <c r="UJF1223" s="4"/>
      <c r="UJG1223" s="4"/>
      <c r="UJH1223" s="18"/>
      <c r="UJI1223" s="3"/>
      <c r="UJJ1223" s="4"/>
      <c r="UJK1223" s="4"/>
      <c r="UJL1223" s="18"/>
      <c r="UJM1223" s="3"/>
      <c r="UJN1223" s="4"/>
      <c r="UJO1223" s="4"/>
      <c r="UJP1223" s="18"/>
      <c r="UJQ1223" s="3"/>
      <c r="UJR1223" s="4"/>
      <c r="UJS1223" s="4"/>
      <c r="UJT1223" s="18"/>
      <c r="UJU1223" s="3"/>
      <c r="UJV1223" s="4"/>
      <c r="UJW1223" s="4"/>
      <c r="UJX1223" s="18"/>
      <c r="UJY1223" s="3"/>
      <c r="UJZ1223" s="4"/>
      <c r="UKA1223" s="4"/>
      <c r="UKB1223" s="18"/>
      <c r="UKC1223" s="3"/>
      <c r="UKD1223" s="4"/>
      <c r="UKE1223" s="4"/>
      <c r="UKF1223" s="18"/>
      <c r="UKG1223" s="3"/>
      <c r="UKH1223" s="4"/>
      <c r="UKI1223" s="4"/>
      <c r="UKJ1223" s="18"/>
      <c r="UKK1223" s="3"/>
      <c r="UKL1223" s="4"/>
      <c r="UKM1223" s="4"/>
      <c r="UKN1223" s="18"/>
      <c r="UKO1223" s="3"/>
      <c r="UKP1223" s="4"/>
      <c r="UKQ1223" s="4"/>
      <c r="UKR1223" s="18"/>
      <c r="UKS1223" s="3"/>
      <c r="UKT1223" s="4"/>
      <c r="UKU1223" s="4"/>
      <c r="UKV1223" s="18"/>
      <c r="UKW1223" s="3"/>
      <c r="UKX1223" s="4"/>
      <c r="UKY1223" s="4"/>
      <c r="UKZ1223" s="18"/>
      <c r="ULA1223" s="3"/>
      <c r="ULB1223" s="4"/>
      <c r="ULC1223" s="4"/>
      <c r="ULD1223" s="18"/>
      <c r="ULE1223" s="3"/>
      <c r="ULF1223" s="4"/>
      <c r="ULG1223" s="4"/>
      <c r="ULH1223" s="18"/>
      <c r="ULI1223" s="3"/>
      <c r="ULJ1223" s="4"/>
      <c r="ULK1223" s="4"/>
      <c r="ULL1223" s="18"/>
      <c r="ULM1223" s="3"/>
      <c r="ULN1223" s="4"/>
      <c r="ULO1223" s="4"/>
      <c r="ULP1223" s="18"/>
      <c r="ULQ1223" s="3"/>
      <c r="ULR1223" s="4"/>
      <c r="ULS1223" s="4"/>
      <c r="ULT1223" s="18"/>
      <c r="ULU1223" s="3"/>
      <c r="ULV1223" s="4"/>
      <c r="ULW1223" s="4"/>
      <c r="ULX1223" s="18"/>
      <c r="ULY1223" s="3"/>
      <c r="ULZ1223" s="4"/>
      <c r="UMA1223" s="4"/>
      <c r="UMB1223" s="18"/>
      <c r="UMC1223" s="3"/>
      <c r="UMD1223" s="4"/>
      <c r="UME1223" s="4"/>
      <c r="UMF1223" s="18"/>
      <c r="UMG1223" s="3"/>
      <c r="UMH1223" s="4"/>
      <c r="UMI1223" s="4"/>
      <c r="UMJ1223" s="18"/>
      <c r="UMK1223" s="3"/>
      <c r="UML1223" s="4"/>
      <c r="UMM1223" s="4"/>
      <c r="UMN1223" s="18"/>
      <c r="UMO1223" s="3"/>
      <c r="UMP1223" s="4"/>
      <c r="UMQ1223" s="4"/>
      <c r="UMR1223" s="18"/>
      <c r="UMS1223" s="3"/>
      <c r="UMT1223" s="4"/>
      <c r="UMU1223" s="4"/>
      <c r="UMV1223" s="18"/>
      <c r="UMW1223" s="3"/>
      <c r="UMX1223" s="4"/>
      <c r="UMY1223" s="4"/>
      <c r="UMZ1223" s="18"/>
      <c r="UNA1223" s="3"/>
      <c r="UNB1223" s="4"/>
      <c r="UNC1223" s="4"/>
      <c r="UND1223" s="18"/>
      <c r="UNE1223" s="3"/>
      <c r="UNF1223" s="4"/>
      <c r="UNG1223" s="4"/>
      <c r="UNH1223" s="18"/>
      <c r="UNI1223" s="3"/>
      <c r="UNJ1223" s="4"/>
      <c r="UNK1223" s="4"/>
      <c r="UNL1223" s="18"/>
      <c r="UNM1223" s="3"/>
      <c r="UNN1223" s="4"/>
      <c r="UNO1223" s="4"/>
      <c r="UNP1223" s="18"/>
      <c r="UNQ1223" s="3"/>
      <c r="UNR1223" s="4"/>
      <c r="UNS1223" s="4"/>
      <c r="UNT1223" s="18"/>
      <c r="UNU1223" s="3"/>
      <c r="UNV1223" s="4"/>
      <c r="UNW1223" s="4"/>
      <c r="UNX1223" s="18"/>
      <c r="UNY1223" s="3"/>
      <c r="UNZ1223" s="4"/>
      <c r="UOA1223" s="4"/>
      <c r="UOB1223" s="18"/>
      <c r="UOC1223" s="3"/>
      <c r="UOD1223" s="4"/>
      <c r="UOE1223" s="4"/>
      <c r="UOF1223" s="18"/>
      <c r="UOG1223" s="3"/>
      <c r="UOH1223" s="4"/>
      <c r="UOI1223" s="4"/>
      <c r="UOJ1223" s="18"/>
      <c r="UOK1223" s="3"/>
      <c r="UOL1223" s="4"/>
      <c r="UOM1223" s="4"/>
      <c r="UON1223" s="18"/>
      <c r="UOO1223" s="3"/>
      <c r="UOP1223" s="4"/>
      <c r="UOQ1223" s="4"/>
      <c r="UOR1223" s="18"/>
      <c r="UOS1223" s="3"/>
      <c r="UOT1223" s="4"/>
      <c r="UOU1223" s="4"/>
      <c r="UOV1223" s="18"/>
      <c r="UOW1223" s="3"/>
      <c r="UOX1223" s="4"/>
      <c r="UOY1223" s="4"/>
      <c r="UOZ1223" s="18"/>
      <c r="UPA1223" s="3"/>
      <c r="UPB1223" s="4"/>
      <c r="UPC1223" s="4"/>
      <c r="UPD1223" s="18"/>
      <c r="UPE1223" s="3"/>
      <c r="UPF1223" s="4"/>
      <c r="UPG1223" s="4"/>
      <c r="UPH1223" s="18"/>
      <c r="UPI1223" s="3"/>
      <c r="UPJ1223" s="4"/>
      <c r="UPK1223" s="4"/>
      <c r="UPL1223" s="18"/>
      <c r="UPM1223" s="3"/>
      <c r="UPN1223" s="4"/>
      <c r="UPO1223" s="4"/>
      <c r="UPP1223" s="18"/>
      <c r="UPQ1223" s="3"/>
      <c r="UPR1223" s="4"/>
      <c r="UPS1223" s="4"/>
      <c r="UPT1223" s="18"/>
      <c r="UPU1223" s="3"/>
      <c r="UPV1223" s="4"/>
      <c r="UPW1223" s="4"/>
      <c r="UPX1223" s="18"/>
      <c r="UPY1223" s="3"/>
      <c r="UPZ1223" s="4"/>
      <c r="UQA1223" s="4"/>
      <c r="UQB1223" s="18"/>
      <c r="UQC1223" s="3"/>
      <c r="UQD1223" s="4"/>
      <c r="UQE1223" s="4"/>
      <c r="UQF1223" s="18"/>
      <c r="UQG1223" s="3"/>
      <c r="UQH1223" s="4"/>
      <c r="UQI1223" s="4"/>
      <c r="UQJ1223" s="18"/>
      <c r="UQK1223" s="3"/>
      <c r="UQL1223" s="4"/>
      <c r="UQM1223" s="4"/>
      <c r="UQN1223" s="18"/>
      <c r="UQO1223" s="3"/>
      <c r="UQP1223" s="4"/>
      <c r="UQQ1223" s="4"/>
      <c r="UQR1223" s="18"/>
      <c r="UQS1223" s="3"/>
      <c r="UQT1223" s="4"/>
      <c r="UQU1223" s="4"/>
      <c r="UQV1223" s="18"/>
      <c r="UQW1223" s="3"/>
      <c r="UQX1223" s="4"/>
      <c r="UQY1223" s="4"/>
      <c r="UQZ1223" s="18"/>
      <c r="URA1223" s="3"/>
      <c r="URB1223" s="4"/>
      <c r="URC1223" s="4"/>
      <c r="URD1223" s="18"/>
      <c r="URE1223" s="3"/>
      <c r="URF1223" s="4"/>
      <c r="URG1223" s="4"/>
      <c r="URH1223" s="18"/>
      <c r="URI1223" s="3"/>
      <c r="URJ1223" s="4"/>
      <c r="URK1223" s="4"/>
      <c r="URL1223" s="18"/>
      <c r="URM1223" s="3"/>
      <c r="URN1223" s="4"/>
      <c r="URO1223" s="4"/>
      <c r="URP1223" s="18"/>
      <c r="URQ1223" s="3"/>
      <c r="URR1223" s="4"/>
      <c r="URS1223" s="4"/>
      <c r="URT1223" s="18"/>
      <c r="URU1223" s="3"/>
      <c r="URV1223" s="4"/>
      <c r="URW1223" s="4"/>
      <c r="URX1223" s="18"/>
      <c r="URY1223" s="3"/>
      <c r="URZ1223" s="4"/>
      <c r="USA1223" s="4"/>
      <c r="USB1223" s="18"/>
      <c r="USC1223" s="3"/>
      <c r="USD1223" s="4"/>
      <c r="USE1223" s="4"/>
      <c r="USF1223" s="18"/>
      <c r="USG1223" s="3"/>
      <c r="USH1223" s="4"/>
      <c r="USI1223" s="4"/>
      <c r="USJ1223" s="18"/>
      <c r="USK1223" s="3"/>
      <c r="USL1223" s="4"/>
      <c r="USM1223" s="4"/>
      <c r="USN1223" s="18"/>
      <c r="USO1223" s="3"/>
      <c r="USP1223" s="4"/>
      <c r="USQ1223" s="4"/>
      <c r="USR1223" s="18"/>
      <c r="USS1223" s="3"/>
      <c r="UST1223" s="4"/>
      <c r="USU1223" s="4"/>
      <c r="USV1223" s="18"/>
      <c r="USW1223" s="3"/>
      <c r="USX1223" s="4"/>
      <c r="USY1223" s="4"/>
      <c r="USZ1223" s="18"/>
      <c r="UTA1223" s="3"/>
      <c r="UTB1223" s="4"/>
      <c r="UTC1223" s="4"/>
      <c r="UTD1223" s="18"/>
      <c r="UTE1223" s="3"/>
      <c r="UTF1223" s="4"/>
      <c r="UTG1223" s="4"/>
      <c r="UTH1223" s="18"/>
      <c r="UTI1223" s="3"/>
      <c r="UTJ1223" s="4"/>
      <c r="UTK1223" s="4"/>
      <c r="UTL1223" s="18"/>
      <c r="UTM1223" s="3"/>
      <c r="UTN1223" s="4"/>
      <c r="UTO1223" s="4"/>
      <c r="UTP1223" s="18"/>
      <c r="UTQ1223" s="3"/>
      <c r="UTR1223" s="4"/>
      <c r="UTS1223" s="4"/>
      <c r="UTT1223" s="18"/>
      <c r="UTU1223" s="3"/>
      <c r="UTV1223" s="4"/>
      <c r="UTW1223" s="4"/>
      <c r="UTX1223" s="18"/>
      <c r="UTY1223" s="3"/>
      <c r="UTZ1223" s="4"/>
      <c r="UUA1223" s="4"/>
      <c r="UUB1223" s="18"/>
      <c r="UUC1223" s="3"/>
      <c r="UUD1223" s="4"/>
      <c r="UUE1223" s="4"/>
      <c r="UUF1223" s="18"/>
      <c r="UUG1223" s="3"/>
      <c r="UUH1223" s="4"/>
      <c r="UUI1223" s="4"/>
      <c r="UUJ1223" s="18"/>
      <c r="UUK1223" s="3"/>
      <c r="UUL1223" s="4"/>
      <c r="UUM1223" s="4"/>
      <c r="UUN1223" s="18"/>
      <c r="UUO1223" s="3"/>
      <c r="UUP1223" s="4"/>
      <c r="UUQ1223" s="4"/>
      <c r="UUR1223" s="18"/>
      <c r="UUS1223" s="3"/>
      <c r="UUT1223" s="4"/>
      <c r="UUU1223" s="4"/>
      <c r="UUV1223" s="18"/>
      <c r="UUW1223" s="3"/>
      <c r="UUX1223" s="4"/>
      <c r="UUY1223" s="4"/>
      <c r="UUZ1223" s="18"/>
      <c r="UVA1223" s="3"/>
      <c r="UVB1223" s="4"/>
      <c r="UVC1223" s="4"/>
      <c r="UVD1223" s="18"/>
      <c r="UVE1223" s="3"/>
      <c r="UVF1223" s="4"/>
      <c r="UVG1223" s="4"/>
      <c r="UVH1223" s="18"/>
      <c r="UVI1223" s="3"/>
      <c r="UVJ1223" s="4"/>
      <c r="UVK1223" s="4"/>
      <c r="UVL1223" s="18"/>
      <c r="UVM1223" s="3"/>
      <c r="UVN1223" s="4"/>
      <c r="UVO1223" s="4"/>
      <c r="UVP1223" s="18"/>
      <c r="UVQ1223" s="3"/>
      <c r="UVR1223" s="4"/>
      <c r="UVS1223" s="4"/>
      <c r="UVT1223" s="18"/>
      <c r="UVU1223" s="3"/>
      <c r="UVV1223" s="4"/>
      <c r="UVW1223" s="4"/>
      <c r="UVX1223" s="18"/>
      <c r="UVY1223" s="3"/>
      <c r="UVZ1223" s="4"/>
      <c r="UWA1223" s="4"/>
      <c r="UWB1223" s="18"/>
      <c r="UWC1223" s="3"/>
      <c r="UWD1223" s="4"/>
      <c r="UWE1223" s="4"/>
      <c r="UWF1223" s="18"/>
      <c r="UWG1223" s="3"/>
      <c r="UWH1223" s="4"/>
      <c r="UWI1223" s="4"/>
      <c r="UWJ1223" s="18"/>
      <c r="UWK1223" s="3"/>
      <c r="UWL1223" s="4"/>
      <c r="UWM1223" s="4"/>
      <c r="UWN1223" s="18"/>
      <c r="UWO1223" s="3"/>
      <c r="UWP1223" s="4"/>
      <c r="UWQ1223" s="4"/>
      <c r="UWR1223" s="18"/>
      <c r="UWS1223" s="3"/>
      <c r="UWT1223" s="4"/>
      <c r="UWU1223" s="4"/>
      <c r="UWV1223" s="18"/>
      <c r="UWW1223" s="3"/>
      <c r="UWX1223" s="4"/>
      <c r="UWY1223" s="4"/>
      <c r="UWZ1223" s="18"/>
      <c r="UXA1223" s="3"/>
      <c r="UXB1223" s="4"/>
      <c r="UXC1223" s="4"/>
      <c r="UXD1223" s="18"/>
      <c r="UXE1223" s="3"/>
      <c r="UXF1223" s="4"/>
      <c r="UXG1223" s="4"/>
      <c r="UXH1223" s="18"/>
      <c r="UXI1223" s="3"/>
      <c r="UXJ1223" s="4"/>
      <c r="UXK1223" s="4"/>
      <c r="UXL1223" s="18"/>
      <c r="UXM1223" s="3"/>
      <c r="UXN1223" s="4"/>
      <c r="UXO1223" s="4"/>
      <c r="UXP1223" s="18"/>
      <c r="UXQ1223" s="3"/>
      <c r="UXR1223" s="4"/>
      <c r="UXS1223" s="4"/>
      <c r="UXT1223" s="18"/>
      <c r="UXU1223" s="3"/>
      <c r="UXV1223" s="4"/>
      <c r="UXW1223" s="4"/>
      <c r="UXX1223" s="18"/>
      <c r="UXY1223" s="3"/>
      <c r="UXZ1223" s="4"/>
      <c r="UYA1223" s="4"/>
      <c r="UYB1223" s="18"/>
      <c r="UYC1223" s="3"/>
      <c r="UYD1223" s="4"/>
      <c r="UYE1223" s="4"/>
      <c r="UYF1223" s="18"/>
      <c r="UYG1223" s="3"/>
      <c r="UYH1223" s="4"/>
      <c r="UYI1223" s="4"/>
      <c r="UYJ1223" s="18"/>
      <c r="UYK1223" s="3"/>
      <c r="UYL1223" s="4"/>
      <c r="UYM1223" s="4"/>
      <c r="UYN1223" s="18"/>
      <c r="UYO1223" s="3"/>
      <c r="UYP1223" s="4"/>
      <c r="UYQ1223" s="4"/>
      <c r="UYR1223" s="18"/>
      <c r="UYS1223" s="3"/>
      <c r="UYT1223" s="4"/>
      <c r="UYU1223" s="4"/>
      <c r="UYV1223" s="18"/>
      <c r="UYW1223" s="3"/>
      <c r="UYX1223" s="4"/>
      <c r="UYY1223" s="4"/>
      <c r="UYZ1223" s="18"/>
      <c r="UZA1223" s="3"/>
      <c r="UZB1223" s="4"/>
      <c r="UZC1223" s="4"/>
      <c r="UZD1223" s="18"/>
      <c r="UZE1223" s="3"/>
      <c r="UZF1223" s="4"/>
      <c r="UZG1223" s="4"/>
      <c r="UZH1223" s="18"/>
      <c r="UZI1223" s="3"/>
      <c r="UZJ1223" s="4"/>
      <c r="UZK1223" s="4"/>
      <c r="UZL1223" s="18"/>
      <c r="UZM1223" s="3"/>
      <c r="UZN1223" s="4"/>
      <c r="UZO1223" s="4"/>
      <c r="UZP1223" s="18"/>
      <c r="UZQ1223" s="3"/>
      <c r="UZR1223" s="4"/>
      <c r="UZS1223" s="4"/>
      <c r="UZT1223" s="18"/>
      <c r="UZU1223" s="3"/>
      <c r="UZV1223" s="4"/>
      <c r="UZW1223" s="4"/>
      <c r="UZX1223" s="18"/>
      <c r="UZY1223" s="3"/>
      <c r="UZZ1223" s="4"/>
      <c r="VAA1223" s="4"/>
      <c r="VAB1223" s="18"/>
      <c r="VAC1223" s="3"/>
      <c r="VAD1223" s="4"/>
      <c r="VAE1223" s="4"/>
      <c r="VAF1223" s="18"/>
      <c r="VAG1223" s="3"/>
      <c r="VAH1223" s="4"/>
      <c r="VAI1223" s="4"/>
      <c r="VAJ1223" s="18"/>
      <c r="VAK1223" s="3"/>
      <c r="VAL1223" s="4"/>
      <c r="VAM1223" s="4"/>
      <c r="VAN1223" s="18"/>
      <c r="VAO1223" s="3"/>
      <c r="VAP1223" s="4"/>
      <c r="VAQ1223" s="4"/>
      <c r="VAR1223" s="18"/>
      <c r="VAS1223" s="3"/>
      <c r="VAT1223" s="4"/>
      <c r="VAU1223" s="4"/>
      <c r="VAV1223" s="18"/>
      <c r="VAW1223" s="3"/>
      <c r="VAX1223" s="4"/>
      <c r="VAY1223" s="4"/>
      <c r="VAZ1223" s="18"/>
      <c r="VBA1223" s="3"/>
      <c r="VBB1223" s="4"/>
      <c r="VBC1223" s="4"/>
      <c r="VBD1223" s="18"/>
      <c r="VBE1223" s="3"/>
      <c r="VBF1223" s="4"/>
      <c r="VBG1223" s="4"/>
      <c r="VBH1223" s="18"/>
      <c r="VBI1223" s="3"/>
      <c r="VBJ1223" s="4"/>
      <c r="VBK1223" s="4"/>
      <c r="VBL1223" s="18"/>
      <c r="VBM1223" s="3"/>
      <c r="VBN1223" s="4"/>
      <c r="VBO1223" s="4"/>
      <c r="VBP1223" s="18"/>
      <c r="VBQ1223" s="3"/>
      <c r="VBR1223" s="4"/>
      <c r="VBS1223" s="4"/>
      <c r="VBT1223" s="18"/>
      <c r="VBU1223" s="3"/>
      <c r="VBV1223" s="4"/>
      <c r="VBW1223" s="4"/>
      <c r="VBX1223" s="18"/>
      <c r="VBY1223" s="3"/>
      <c r="VBZ1223" s="4"/>
      <c r="VCA1223" s="4"/>
      <c r="VCB1223" s="18"/>
      <c r="VCC1223" s="3"/>
      <c r="VCD1223" s="4"/>
      <c r="VCE1223" s="4"/>
      <c r="VCF1223" s="18"/>
      <c r="VCG1223" s="3"/>
      <c r="VCH1223" s="4"/>
      <c r="VCI1223" s="4"/>
      <c r="VCJ1223" s="18"/>
      <c r="VCK1223" s="3"/>
      <c r="VCL1223" s="4"/>
      <c r="VCM1223" s="4"/>
      <c r="VCN1223" s="18"/>
      <c r="VCO1223" s="3"/>
      <c r="VCP1223" s="4"/>
      <c r="VCQ1223" s="4"/>
      <c r="VCR1223" s="18"/>
      <c r="VCS1223" s="3"/>
      <c r="VCT1223" s="4"/>
      <c r="VCU1223" s="4"/>
      <c r="VCV1223" s="18"/>
      <c r="VCW1223" s="3"/>
      <c r="VCX1223" s="4"/>
      <c r="VCY1223" s="4"/>
      <c r="VCZ1223" s="18"/>
      <c r="VDA1223" s="3"/>
      <c r="VDB1223" s="4"/>
      <c r="VDC1223" s="4"/>
      <c r="VDD1223" s="18"/>
      <c r="VDE1223" s="3"/>
      <c r="VDF1223" s="4"/>
      <c r="VDG1223" s="4"/>
      <c r="VDH1223" s="18"/>
      <c r="VDI1223" s="3"/>
      <c r="VDJ1223" s="4"/>
      <c r="VDK1223" s="4"/>
      <c r="VDL1223" s="18"/>
      <c r="VDM1223" s="3"/>
      <c r="VDN1223" s="4"/>
      <c r="VDO1223" s="4"/>
      <c r="VDP1223" s="18"/>
      <c r="VDQ1223" s="3"/>
      <c r="VDR1223" s="4"/>
      <c r="VDS1223" s="4"/>
      <c r="VDT1223" s="18"/>
      <c r="VDU1223" s="3"/>
      <c r="VDV1223" s="4"/>
      <c r="VDW1223" s="4"/>
      <c r="VDX1223" s="18"/>
      <c r="VDY1223" s="3"/>
      <c r="VDZ1223" s="4"/>
      <c r="VEA1223" s="4"/>
      <c r="VEB1223" s="18"/>
      <c r="VEC1223" s="3"/>
      <c r="VED1223" s="4"/>
      <c r="VEE1223" s="4"/>
      <c r="VEF1223" s="18"/>
      <c r="VEG1223" s="3"/>
      <c r="VEH1223" s="4"/>
      <c r="VEI1223" s="4"/>
      <c r="VEJ1223" s="18"/>
      <c r="VEK1223" s="3"/>
      <c r="VEL1223" s="4"/>
      <c r="VEM1223" s="4"/>
      <c r="VEN1223" s="18"/>
      <c r="VEO1223" s="3"/>
      <c r="VEP1223" s="4"/>
      <c r="VEQ1223" s="4"/>
      <c r="VER1223" s="18"/>
      <c r="VES1223" s="3"/>
      <c r="VET1223" s="4"/>
      <c r="VEU1223" s="4"/>
      <c r="VEV1223" s="18"/>
      <c r="VEW1223" s="3"/>
      <c r="VEX1223" s="4"/>
      <c r="VEY1223" s="4"/>
      <c r="VEZ1223" s="18"/>
      <c r="VFA1223" s="3"/>
      <c r="VFB1223" s="4"/>
      <c r="VFC1223" s="4"/>
      <c r="VFD1223" s="18"/>
      <c r="VFE1223" s="3"/>
      <c r="VFF1223" s="4"/>
      <c r="VFG1223" s="4"/>
      <c r="VFH1223" s="18"/>
      <c r="VFI1223" s="3"/>
      <c r="VFJ1223" s="4"/>
      <c r="VFK1223" s="4"/>
      <c r="VFL1223" s="18"/>
      <c r="VFM1223" s="3"/>
      <c r="VFN1223" s="4"/>
      <c r="VFO1223" s="4"/>
      <c r="VFP1223" s="18"/>
      <c r="VFQ1223" s="3"/>
      <c r="VFR1223" s="4"/>
      <c r="VFS1223" s="4"/>
      <c r="VFT1223" s="18"/>
      <c r="VFU1223" s="3"/>
      <c r="VFV1223" s="4"/>
      <c r="VFW1223" s="4"/>
      <c r="VFX1223" s="18"/>
      <c r="VFY1223" s="3"/>
      <c r="VFZ1223" s="4"/>
      <c r="VGA1223" s="4"/>
      <c r="VGB1223" s="18"/>
      <c r="VGC1223" s="3"/>
      <c r="VGD1223" s="4"/>
      <c r="VGE1223" s="4"/>
      <c r="VGF1223" s="18"/>
      <c r="VGG1223" s="3"/>
      <c r="VGH1223" s="4"/>
      <c r="VGI1223" s="4"/>
      <c r="VGJ1223" s="18"/>
      <c r="VGK1223" s="3"/>
      <c r="VGL1223" s="4"/>
      <c r="VGM1223" s="4"/>
      <c r="VGN1223" s="18"/>
      <c r="VGO1223" s="3"/>
      <c r="VGP1223" s="4"/>
      <c r="VGQ1223" s="4"/>
      <c r="VGR1223" s="18"/>
      <c r="VGS1223" s="3"/>
      <c r="VGT1223" s="4"/>
      <c r="VGU1223" s="4"/>
      <c r="VGV1223" s="18"/>
      <c r="VGW1223" s="3"/>
      <c r="VGX1223" s="4"/>
      <c r="VGY1223" s="4"/>
      <c r="VGZ1223" s="18"/>
      <c r="VHA1223" s="3"/>
      <c r="VHB1223" s="4"/>
      <c r="VHC1223" s="4"/>
      <c r="VHD1223" s="18"/>
      <c r="VHE1223" s="3"/>
      <c r="VHF1223" s="4"/>
      <c r="VHG1223" s="4"/>
      <c r="VHH1223" s="18"/>
      <c r="VHI1223" s="3"/>
      <c r="VHJ1223" s="4"/>
      <c r="VHK1223" s="4"/>
      <c r="VHL1223" s="18"/>
      <c r="VHM1223" s="3"/>
      <c r="VHN1223" s="4"/>
      <c r="VHO1223" s="4"/>
      <c r="VHP1223" s="18"/>
      <c r="VHQ1223" s="3"/>
      <c r="VHR1223" s="4"/>
      <c r="VHS1223" s="4"/>
      <c r="VHT1223" s="18"/>
      <c r="VHU1223" s="3"/>
      <c r="VHV1223" s="4"/>
      <c r="VHW1223" s="4"/>
      <c r="VHX1223" s="18"/>
      <c r="VHY1223" s="3"/>
      <c r="VHZ1223" s="4"/>
      <c r="VIA1223" s="4"/>
      <c r="VIB1223" s="18"/>
      <c r="VIC1223" s="3"/>
      <c r="VID1223" s="4"/>
      <c r="VIE1223" s="4"/>
      <c r="VIF1223" s="18"/>
      <c r="VIG1223" s="3"/>
      <c r="VIH1223" s="4"/>
      <c r="VII1223" s="4"/>
      <c r="VIJ1223" s="18"/>
      <c r="VIK1223" s="3"/>
      <c r="VIL1223" s="4"/>
      <c r="VIM1223" s="4"/>
      <c r="VIN1223" s="18"/>
      <c r="VIO1223" s="3"/>
      <c r="VIP1223" s="4"/>
      <c r="VIQ1223" s="4"/>
      <c r="VIR1223" s="18"/>
      <c r="VIS1223" s="3"/>
      <c r="VIT1223" s="4"/>
      <c r="VIU1223" s="4"/>
      <c r="VIV1223" s="18"/>
      <c r="VIW1223" s="3"/>
      <c r="VIX1223" s="4"/>
      <c r="VIY1223" s="4"/>
      <c r="VIZ1223" s="18"/>
      <c r="VJA1223" s="3"/>
      <c r="VJB1223" s="4"/>
      <c r="VJC1223" s="4"/>
      <c r="VJD1223" s="18"/>
      <c r="VJE1223" s="3"/>
      <c r="VJF1223" s="4"/>
      <c r="VJG1223" s="4"/>
      <c r="VJH1223" s="18"/>
      <c r="VJI1223" s="3"/>
      <c r="VJJ1223" s="4"/>
      <c r="VJK1223" s="4"/>
      <c r="VJL1223" s="18"/>
      <c r="VJM1223" s="3"/>
      <c r="VJN1223" s="4"/>
      <c r="VJO1223" s="4"/>
      <c r="VJP1223" s="18"/>
      <c r="VJQ1223" s="3"/>
      <c r="VJR1223" s="4"/>
      <c r="VJS1223" s="4"/>
      <c r="VJT1223" s="18"/>
      <c r="VJU1223" s="3"/>
      <c r="VJV1223" s="4"/>
      <c r="VJW1223" s="4"/>
      <c r="VJX1223" s="18"/>
      <c r="VJY1223" s="3"/>
      <c r="VJZ1223" s="4"/>
      <c r="VKA1223" s="4"/>
      <c r="VKB1223" s="18"/>
      <c r="VKC1223" s="3"/>
      <c r="VKD1223" s="4"/>
      <c r="VKE1223" s="4"/>
      <c r="VKF1223" s="18"/>
      <c r="VKG1223" s="3"/>
      <c r="VKH1223" s="4"/>
      <c r="VKI1223" s="4"/>
      <c r="VKJ1223" s="18"/>
      <c r="VKK1223" s="3"/>
      <c r="VKL1223" s="4"/>
      <c r="VKM1223" s="4"/>
      <c r="VKN1223" s="18"/>
      <c r="VKO1223" s="3"/>
      <c r="VKP1223" s="4"/>
      <c r="VKQ1223" s="4"/>
      <c r="VKR1223" s="18"/>
      <c r="VKS1223" s="3"/>
      <c r="VKT1223" s="4"/>
      <c r="VKU1223" s="4"/>
      <c r="VKV1223" s="18"/>
      <c r="VKW1223" s="3"/>
      <c r="VKX1223" s="4"/>
      <c r="VKY1223" s="4"/>
      <c r="VKZ1223" s="18"/>
      <c r="VLA1223" s="3"/>
      <c r="VLB1223" s="4"/>
      <c r="VLC1223" s="4"/>
      <c r="VLD1223" s="18"/>
      <c r="VLE1223" s="3"/>
      <c r="VLF1223" s="4"/>
      <c r="VLG1223" s="4"/>
      <c r="VLH1223" s="18"/>
      <c r="VLI1223" s="3"/>
      <c r="VLJ1223" s="4"/>
      <c r="VLK1223" s="4"/>
      <c r="VLL1223" s="18"/>
      <c r="VLM1223" s="3"/>
      <c r="VLN1223" s="4"/>
      <c r="VLO1223" s="4"/>
      <c r="VLP1223" s="18"/>
      <c r="VLQ1223" s="3"/>
      <c r="VLR1223" s="4"/>
      <c r="VLS1223" s="4"/>
      <c r="VLT1223" s="18"/>
      <c r="VLU1223" s="3"/>
      <c r="VLV1223" s="4"/>
      <c r="VLW1223" s="4"/>
      <c r="VLX1223" s="18"/>
      <c r="VLY1223" s="3"/>
      <c r="VLZ1223" s="4"/>
      <c r="VMA1223" s="4"/>
      <c r="VMB1223" s="18"/>
      <c r="VMC1223" s="3"/>
      <c r="VMD1223" s="4"/>
      <c r="VME1223" s="4"/>
      <c r="VMF1223" s="18"/>
      <c r="VMG1223" s="3"/>
      <c r="VMH1223" s="4"/>
      <c r="VMI1223" s="4"/>
      <c r="VMJ1223" s="18"/>
      <c r="VMK1223" s="3"/>
      <c r="VML1223" s="4"/>
      <c r="VMM1223" s="4"/>
      <c r="VMN1223" s="18"/>
      <c r="VMO1223" s="3"/>
      <c r="VMP1223" s="4"/>
      <c r="VMQ1223" s="4"/>
      <c r="VMR1223" s="18"/>
      <c r="VMS1223" s="3"/>
      <c r="VMT1223" s="4"/>
      <c r="VMU1223" s="4"/>
      <c r="VMV1223" s="18"/>
      <c r="VMW1223" s="3"/>
      <c r="VMX1223" s="4"/>
      <c r="VMY1223" s="4"/>
      <c r="VMZ1223" s="18"/>
      <c r="VNA1223" s="3"/>
      <c r="VNB1223" s="4"/>
      <c r="VNC1223" s="4"/>
      <c r="VND1223" s="18"/>
      <c r="VNE1223" s="3"/>
      <c r="VNF1223" s="4"/>
      <c r="VNG1223" s="4"/>
      <c r="VNH1223" s="18"/>
      <c r="VNI1223" s="3"/>
      <c r="VNJ1223" s="4"/>
      <c r="VNK1223" s="4"/>
      <c r="VNL1223" s="18"/>
      <c r="VNM1223" s="3"/>
      <c r="VNN1223" s="4"/>
      <c r="VNO1223" s="4"/>
      <c r="VNP1223" s="18"/>
      <c r="VNQ1223" s="3"/>
      <c r="VNR1223" s="4"/>
      <c r="VNS1223" s="4"/>
      <c r="VNT1223" s="18"/>
      <c r="VNU1223" s="3"/>
      <c r="VNV1223" s="4"/>
      <c r="VNW1223" s="4"/>
      <c r="VNX1223" s="18"/>
      <c r="VNY1223" s="3"/>
      <c r="VNZ1223" s="4"/>
      <c r="VOA1223" s="4"/>
      <c r="VOB1223" s="18"/>
      <c r="VOC1223" s="3"/>
      <c r="VOD1223" s="4"/>
      <c r="VOE1223" s="4"/>
      <c r="VOF1223" s="18"/>
      <c r="VOG1223" s="3"/>
      <c r="VOH1223" s="4"/>
      <c r="VOI1223" s="4"/>
      <c r="VOJ1223" s="18"/>
      <c r="VOK1223" s="3"/>
      <c r="VOL1223" s="4"/>
      <c r="VOM1223" s="4"/>
      <c r="VON1223" s="18"/>
      <c r="VOO1223" s="3"/>
      <c r="VOP1223" s="4"/>
      <c r="VOQ1223" s="4"/>
      <c r="VOR1223" s="18"/>
      <c r="VOS1223" s="3"/>
      <c r="VOT1223" s="4"/>
      <c r="VOU1223" s="4"/>
      <c r="VOV1223" s="18"/>
      <c r="VOW1223" s="3"/>
      <c r="VOX1223" s="4"/>
      <c r="VOY1223" s="4"/>
      <c r="VOZ1223" s="18"/>
      <c r="VPA1223" s="3"/>
      <c r="VPB1223" s="4"/>
      <c r="VPC1223" s="4"/>
      <c r="VPD1223" s="18"/>
      <c r="VPE1223" s="3"/>
      <c r="VPF1223" s="4"/>
      <c r="VPG1223" s="4"/>
      <c r="VPH1223" s="18"/>
      <c r="VPI1223" s="3"/>
      <c r="VPJ1223" s="4"/>
      <c r="VPK1223" s="4"/>
      <c r="VPL1223" s="18"/>
      <c r="VPM1223" s="3"/>
      <c r="VPN1223" s="4"/>
      <c r="VPO1223" s="4"/>
      <c r="VPP1223" s="18"/>
      <c r="VPQ1223" s="3"/>
      <c r="VPR1223" s="4"/>
      <c r="VPS1223" s="4"/>
      <c r="VPT1223" s="18"/>
      <c r="VPU1223" s="3"/>
      <c r="VPV1223" s="4"/>
      <c r="VPW1223" s="4"/>
      <c r="VPX1223" s="18"/>
      <c r="VPY1223" s="3"/>
      <c r="VPZ1223" s="4"/>
      <c r="VQA1223" s="4"/>
      <c r="VQB1223" s="18"/>
      <c r="VQC1223" s="3"/>
      <c r="VQD1223" s="4"/>
      <c r="VQE1223" s="4"/>
      <c r="VQF1223" s="18"/>
      <c r="VQG1223" s="3"/>
      <c r="VQH1223" s="4"/>
      <c r="VQI1223" s="4"/>
      <c r="VQJ1223" s="18"/>
      <c r="VQK1223" s="3"/>
      <c r="VQL1223" s="4"/>
      <c r="VQM1223" s="4"/>
      <c r="VQN1223" s="18"/>
      <c r="VQO1223" s="3"/>
      <c r="VQP1223" s="4"/>
      <c r="VQQ1223" s="4"/>
      <c r="VQR1223" s="18"/>
      <c r="VQS1223" s="3"/>
      <c r="VQT1223" s="4"/>
      <c r="VQU1223" s="4"/>
      <c r="VQV1223" s="18"/>
      <c r="VQW1223" s="3"/>
      <c r="VQX1223" s="4"/>
      <c r="VQY1223" s="4"/>
      <c r="VQZ1223" s="18"/>
      <c r="VRA1223" s="3"/>
      <c r="VRB1223" s="4"/>
      <c r="VRC1223" s="4"/>
      <c r="VRD1223" s="18"/>
      <c r="VRE1223" s="3"/>
      <c r="VRF1223" s="4"/>
      <c r="VRG1223" s="4"/>
      <c r="VRH1223" s="18"/>
      <c r="VRI1223" s="3"/>
      <c r="VRJ1223" s="4"/>
      <c r="VRK1223" s="4"/>
      <c r="VRL1223" s="18"/>
      <c r="VRM1223" s="3"/>
      <c r="VRN1223" s="4"/>
      <c r="VRO1223" s="4"/>
      <c r="VRP1223" s="18"/>
      <c r="VRQ1223" s="3"/>
      <c r="VRR1223" s="4"/>
      <c r="VRS1223" s="4"/>
      <c r="VRT1223" s="18"/>
      <c r="VRU1223" s="3"/>
      <c r="VRV1223" s="4"/>
      <c r="VRW1223" s="4"/>
      <c r="VRX1223" s="18"/>
      <c r="VRY1223" s="3"/>
      <c r="VRZ1223" s="4"/>
      <c r="VSA1223" s="4"/>
      <c r="VSB1223" s="18"/>
      <c r="VSC1223" s="3"/>
      <c r="VSD1223" s="4"/>
      <c r="VSE1223" s="4"/>
      <c r="VSF1223" s="18"/>
      <c r="VSG1223" s="3"/>
      <c r="VSH1223" s="4"/>
      <c r="VSI1223" s="4"/>
      <c r="VSJ1223" s="18"/>
      <c r="VSK1223" s="3"/>
      <c r="VSL1223" s="4"/>
      <c r="VSM1223" s="4"/>
      <c r="VSN1223" s="18"/>
      <c r="VSO1223" s="3"/>
      <c r="VSP1223" s="4"/>
      <c r="VSQ1223" s="4"/>
      <c r="VSR1223" s="18"/>
      <c r="VSS1223" s="3"/>
      <c r="VST1223" s="4"/>
      <c r="VSU1223" s="4"/>
      <c r="VSV1223" s="18"/>
      <c r="VSW1223" s="3"/>
      <c r="VSX1223" s="4"/>
      <c r="VSY1223" s="4"/>
      <c r="VSZ1223" s="18"/>
      <c r="VTA1223" s="3"/>
      <c r="VTB1223" s="4"/>
      <c r="VTC1223" s="4"/>
      <c r="VTD1223" s="18"/>
      <c r="VTE1223" s="3"/>
      <c r="VTF1223" s="4"/>
      <c r="VTG1223" s="4"/>
      <c r="VTH1223" s="18"/>
      <c r="VTI1223" s="3"/>
      <c r="VTJ1223" s="4"/>
      <c r="VTK1223" s="4"/>
      <c r="VTL1223" s="18"/>
      <c r="VTM1223" s="3"/>
      <c r="VTN1223" s="4"/>
      <c r="VTO1223" s="4"/>
      <c r="VTP1223" s="18"/>
      <c r="VTQ1223" s="3"/>
      <c r="VTR1223" s="4"/>
      <c r="VTS1223" s="4"/>
      <c r="VTT1223" s="18"/>
      <c r="VTU1223" s="3"/>
      <c r="VTV1223" s="4"/>
      <c r="VTW1223" s="4"/>
      <c r="VTX1223" s="18"/>
      <c r="VTY1223" s="3"/>
      <c r="VTZ1223" s="4"/>
      <c r="VUA1223" s="4"/>
      <c r="VUB1223" s="18"/>
      <c r="VUC1223" s="3"/>
      <c r="VUD1223" s="4"/>
      <c r="VUE1223" s="4"/>
      <c r="VUF1223" s="18"/>
      <c r="VUG1223" s="3"/>
      <c r="VUH1223" s="4"/>
      <c r="VUI1223" s="4"/>
      <c r="VUJ1223" s="18"/>
      <c r="VUK1223" s="3"/>
      <c r="VUL1223" s="4"/>
      <c r="VUM1223" s="4"/>
      <c r="VUN1223" s="18"/>
      <c r="VUO1223" s="3"/>
      <c r="VUP1223" s="4"/>
      <c r="VUQ1223" s="4"/>
      <c r="VUR1223" s="18"/>
      <c r="VUS1223" s="3"/>
      <c r="VUT1223" s="4"/>
      <c r="VUU1223" s="4"/>
      <c r="VUV1223" s="18"/>
      <c r="VUW1223" s="3"/>
      <c r="VUX1223" s="4"/>
      <c r="VUY1223" s="4"/>
      <c r="VUZ1223" s="18"/>
      <c r="VVA1223" s="3"/>
      <c r="VVB1223" s="4"/>
      <c r="VVC1223" s="4"/>
      <c r="VVD1223" s="18"/>
      <c r="VVE1223" s="3"/>
      <c r="VVF1223" s="4"/>
      <c r="VVG1223" s="4"/>
      <c r="VVH1223" s="18"/>
      <c r="VVI1223" s="3"/>
      <c r="VVJ1223" s="4"/>
      <c r="VVK1223" s="4"/>
      <c r="VVL1223" s="18"/>
      <c r="VVM1223" s="3"/>
      <c r="VVN1223" s="4"/>
      <c r="VVO1223" s="4"/>
      <c r="VVP1223" s="18"/>
      <c r="VVQ1223" s="3"/>
      <c r="VVR1223" s="4"/>
      <c r="VVS1223" s="4"/>
      <c r="VVT1223" s="18"/>
      <c r="VVU1223" s="3"/>
      <c r="VVV1223" s="4"/>
      <c r="VVW1223" s="4"/>
      <c r="VVX1223" s="18"/>
      <c r="VVY1223" s="3"/>
      <c r="VVZ1223" s="4"/>
      <c r="VWA1223" s="4"/>
      <c r="VWB1223" s="18"/>
      <c r="VWC1223" s="3"/>
      <c r="VWD1223" s="4"/>
      <c r="VWE1223" s="4"/>
      <c r="VWF1223" s="18"/>
      <c r="VWG1223" s="3"/>
      <c r="VWH1223" s="4"/>
      <c r="VWI1223" s="4"/>
      <c r="VWJ1223" s="18"/>
      <c r="VWK1223" s="3"/>
      <c r="VWL1223" s="4"/>
      <c r="VWM1223" s="4"/>
      <c r="VWN1223" s="18"/>
      <c r="VWO1223" s="3"/>
      <c r="VWP1223" s="4"/>
      <c r="VWQ1223" s="4"/>
      <c r="VWR1223" s="18"/>
      <c r="VWS1223" s="3"/>
      <c r="VWT1223" s="4"/>
      <c r="VWU1223" s="4"/>
      <c r="VWV1223" s="18"/>
      <c r="VWW1223" s="3"/>
      <c r="VWX1223" s="4"/>
      <c r="VWY1223" s="4"/>
      <c r="VWZ1223" s="18"/>
      <c r="VXA1223" s="3"/>
      <c r="VXB1223" s="4"/>
      <c r="VXC1223" s="4"/>
      <c r="VXD1223" s="18"/>
      <c r="VXE1223" s="3"/>
      <c r="VXF1223" s="4"/>
      <c r="VXG1223" s="4"/>
      <c r="VXH1223" s="18"/>
      <c r="VXI1223" s="3"/>
      <c r="VXJ1223" s="4"/>
      <c r="VXK1223" s="4"/>
      <c r="VXL1223" s="18"/>
      <c r="VXM1223" s="3"/>
      <c r="VXN1223" s="4"/>
      <c r="VXO1223" s="4"/>
      <c r="VXP1223" s="18"/>
      <c r="VXQ1223" s="3"/>
      <c r="VXR1223" s="4"/>
      <c r="VXS1223" s="4"/>
      <c r="VXT1223" s="18"/>
      <c r="VXU1223" s="3"/>
      <c r="VXV1223" s="4"/>
      <c r="VXW1223" s="4"/>
      <c r="VXX1223" s="18"/>
      <c r="VXY1223" s="3"/>
      <c r="VXZ1223" s="4"/>
      <c r="VYA1223" s="4"/>
      <c r="VYB1223" s="18"/>
      <c r="VYC1223" s="3"/>
      <c r="VYD1223" s="4"/>
      <c r="VYE1223" s="4"/>
      <c r="VYF1223" s="18"/>
      <c r="VYG1223" s="3"/>
      <c r="VYH1223" s="4"/>
      <c r="VYI1223" s="4"/>
      <c r="VYJ1223" s="18"/>
      <c r="VYK1223" s="3"/>
      <c r="VYL1223" s="4"/>
      <c r="VYM1223" s="4"/>
      <c r="VYN1223" s="18"/>
      <c r="VYO1223" s="3"/>
      <c r="VYP1223" s="4"/>
      <c r="VYQ1223" s="4"/>
      <c r="VYR1223" s="18"/>
      <c r="VYS1223" s="3"/>
      <c r="VYT1223" s="4"/>
      <c r="VYU1223" s="4"/>
      <c r="VYV1223" s="18"/>
      <c r="VYW1223" s="3"/>
      <c r="VYX1223" s="4"/>
      <c r="VYY1223" s="4"/>
      <c r="VYZ1223" s="18"/>
      <c r="VZA1223" s="3"/>
      <c r="VZB1223" s="4"/>
      <c r="VZC1223" s="4"/>
      <c r="VZD1223" s="18"/>
      <c r="VZE1223" s="3"/>
      <c r="VZF1223" s="4"/>
      <c r="VZG1223" s="4"/>
      <c r="VZH1223" s="18"/>
      <c r="VZI1223" s="3"/>
      <c r="VZJ1223" s="4"/>
      <c r="VZK1223" s="4"/>
      <c r="VZL1223" s="18"/>
      <c r="VZM1223" s="3"/>
      <c r="VZN1223" s="4"/>
      <c r="VZO1223" s="4"/>
      <c r="VZP1223" s="18"/>
      <c r="VZQ1223" s="3"/>
      <c r="VZR1223" s="4"/>
      <c r="VZS1223" s="4"/>
      <c r="VZT1223" s="18"/>
      <c r="VZU1223" s="3"/>
      <c r="VZV1223" s="4"/>
      <c r="VZW1223" s="4"/>
      <c r="VZX1223" s="18"/>
      <c r="VZY1223" s="3"/>
      <c r="VZZ1223" s="4"/>
      <c r="WAA1223" s="4"/>
      <c r="WAB1223" s="18"/>
      <c r="WAC1223" s="3"/>
      <c r="WAD1223" s="4"/>
      <c r="WAE1223" s="4"/>
      <c r="WAF1223" s="18"/>
      <c r="WAG1223" s="3"/>
      <c r="WAH1223" s="4"/>
      <c r="WAI1223" s="4"/>
      <c r="WAJ1223" s="18"/>
      <c r="WAK1223" s="3"/>
      <c r="WAL1223" s="4"/>
      <c r="WAM1223" s="4"/>
      <c r="WAN1223" s="18"/>
      <c r="WAO1223" s="3"/>
      <c r="WAP1223" s="4"/>
      <c r="WAQ1223" s="4"/>
      <c r="WAR1223" s="18"/>
      <c r="WAS1223" s="3"/>
      <c r="WAT1223" s="4"/>
      <c r="WAU1223" s="4"/>
      <c r="WAV1223" s="18"/>
      <c r="WAW1223" s="3"/>
      <c r="WAX1223" s="4"/>
      <c r="WAY1223" s="4"/>
      <c r="WAZ1223" s="18"/>
      <c r="WBA1223" s="3"/>
      <c r="WBB1223" s="4"/>
      <c r="WBC1223" s="4"/>
      <c r="WBD1223" s="18"/>
      <c r="WBE1223" s="3"/>
      <c r="WBF1223" s="4"/>
      <c r="WBG1223" s="4"/>
      <c r="WBH1223" s="18"/>
      <c r="WBI1223" s="3"/>
      <c r="WBJ1223" s="4"/>
      <c r="WBK1223" s="4"/>
      <c r="WBL1223" s="18"/>
      <c r="WBM1223" s="3"/>
      <c r="WBN1223" s="4"/>
      <c r="WBO1223" s="4"/>
      <c r="WBP1223" s="18"/>
      <c r="WBQ1223" s="3"/>
      <c r="WBR1223" s="4"/>
      <c r="WBS1223" s="4"/>
      <c r="WBT1223" s="18"/>
      <c r="WBU1223" s="3"/>
      <c r="WBV1223" s="4"/>
      <c r="WBW1223" s="4"/>
      <c r="WBX1223" s="18"/>
      <c r="WBY1223" s="3"/>
      <c r="WBZ1223" s="4"/>
      <c r="WCA1223" s="4"/>
      <c r="WCB1223" s="18"/>
      <c r="WCC1223" s="3"/>
      <c r="WCD1223" s="4"/>
      <c r="WCE1223" s="4"/>
      <c r="WCF1223" s="18"/>
      <c r="WCG1223" s="3"/>
      <c r="WCH1223" s="4"/>
      <c r="WCI1223" s="4"/>
      <c r="WCJ1223" s="18"/>
      <c r="WCK1223" s="3"/>
      <c r="WCL1223" s="4"/>
      <c r="WCM1223" s="4"/>
      <c r="WCN1223" s="18"/>
      <c r="WCO1223" s="3"/>
      <c r="WCP1223" s="4"/>
      <c r="WCQ1223" s="4"/>
      <c r="WCR1223" s="18"/>
      <c r="WCS1223" s="3"/>
      <c r="WCT1223" s="4"/>
      <c r="WCU1223" s="4"/>
      <c r="WCV1223" s="18"/>
      <c r="WCW1223" s="3"/>
      <c r="WCX1223" s="4"/>
      <c r="WCY1223" s="4"/>
      <c r="WCZ1223" s="18"/>
      <c r="WDA1223" s="3"/>
      <c r="WDB1223" s="4"/>
      <c r="WDC1223" s="4"/>
      <c r="WDD1223" s="18"/>
      <c r="WDE1223" s="3"/>
      <c r="WDF1223" s="4"/>
      <c r="WDG1223" s="4"/>
      <c r="WDH1223" s="18"/>
      <c r="WDI1223" s="3"/>
      <c r="WDJ1223" s="4"/>
      <c r="WDK1223" s="4"/>
      <c r="WDL1223" s="18"/>
      <c r="WDM1223" s="3"/>
      <c r="WDN1223" s="4"/>
      <c r="WDO1223" s="4"/>
      <c r="WDP1223" s="18"/>
      <c r="WDQ1223" s="3"/>
      <c r="WDR1223" s="4"/>
      <c r="WDS1223" s="4"/>
      <c r="WDT1223" s="18"/>
      <c r="WDU1223" s="3"/>
      <c r="WDV1223" s="4"/>
      <c r="WDW1223" s="4"/>
      <c r="WDX1223" s="18"/>
      <c r="WDY1223" s="3"/>
      <c r="WDZ1223" s="4"/>
      <c r="WEA1223" s="4"/>
      <c r="WEB1223" s="18"/>
      <c r="WEC1223" s="3"/>
      <c r="WED1223" s="4"/>
      <c r="WEE1223" s="4"/>
      <c r="WEF1223" s="18"/>
      <c r="WEG1223" s="3"/>
      <c r="WEH1223" s="4"/>
      <c r="WEI1223" s="4"/>
      <c r="WEJ1223" s="18"/>
      <c r="WEK1223" s="3"/>
      <c r="WEL1223" s="4"/>
      <c r="WEM1223" s="4"/>
      <c r="WEN1223" s="18"/>
      <c r="WEO1223" s="3"/>
      <c r="WEP1223" s="4"/>
      <c r="WEQ1223" s="4"/>
      <c r="WER1223" s="18"/>
      <c r="WES1223" s="3"/>
      <c r="WET1223" s="4"/>
      <c r="WEU1223" s="4"/>
      <c r="WEV1223" s="18"/>
      <c r="WEW1223" s="3"/>
      <c r="WEX1223" s="4"/>
      <c r="WEY1223" s="4"/>
      <c r="WEZ1223" s="18"/>
      <c r="WFA1223" s="3"/>
      <c r="WFB1223" s="4"/>
      <c r="WFC1223" s="4"/>
      <c r="WFD1223" s="18"/>
      <c r="WFE1223" s="3"/>
      <c r="WFF1223" s="4"/>
      <c r="WFG1223" s="4"/>
      <c r="WFH1223" s="18"/>
      <c r="WFI1223" s="3"/>
      <c r="WFJ1223" s="4"/>
      <c r="WFK1223" s="4"/>
      <c r="WFL1223" s="18"/>
      <c r="WFM1223" s="3"/>
      <c r="WFN1223" s="4"/>
      <c r="WFO1223" s="4"/>
      <c r="WFP1223" s="18"/>
      <c r="WFQ1223" s="3"/>
      <c r="WFR1223" s="4"/>
      <c r="WFS1223" s="4"/>
      <c r="WFT1223" s="18"/>
      <c r="WFU1223" s="3"/>
      <c r="WFV1223" s="4"/>
      <c r="WFW1223" s="4"/>
      <c r="WFX1223" s="18"/>
      <c r="WFY1223" s="3"/>
      <c r="WFZ1223" s="4"/>
      <c r="WGA1223" s="4"/>
      <c r="WGB1223" s="18"/>
      <c r="WGC1223" s="3"/>
      <c r="WGD1223" s="4"/>
      <c r="WGE1223" s="4"/>
      <c r="WGF1223" s="18"/>
      <c r="WGG1223" s="3"/>
      <c r="WGH1223" s="4"/>
      <c r="WGI1223" s="4"/>
      <c r="WGJ1223" s="18"/>
      <c r="WGK1223" s="3"/>
      <c r="WGL1223" s="4"/>
      <c r="WGM1223" s="4"/>
      <c r="WGN1223" s="18"/>
      <c r="WGO1223" s="3"/>
      <c r="WGP1223" s="4"/>
      <c r="WGQ1223" s="4"/>
      <c r="WGR1223" s="18"/>
      <c r="WGS1223" s="3"/>
      <c r="WGT1223" s="4"/>
      <c r="WGU1223" s="4"/>
      <c r="WGV1223" s="18"/>
      <c r="WGW1223" s="3"/>
      <c r="WGX1223" s="4"/>
      <c r="WGY1223" s="4"/>
      <c r="WGZ1223" s="18"/>
      <c r="WHA1223" s="3"/>
      <c r="WHB1223" s="4"/>
      <c r="WHC1223" s="4"/>
      <c r="WHD1223" s="18"/>
      <c r="WHE1223" s="3"/>
      <c r="WHF1223" s="4"/>
      <c r="WHG1223" s="4"/>
      <c r="WHH1223" s="18"/>
      <c r="WHI1223" s="3"/>
      <c r="WHJ1223" s="4"/>
      <c r="WHK1223" s="4"/>
      <c r="WHL1223" s="18"/>
      <c r="WHM1223" s="3"/>
      <c r="WHN1223" s="4"/>
      <c r="WHO1223" s="4"/>
      <c r="WHP1223" s="18"/>
      <c r="WHQ1223" s="3"/>
      <c r="WHR1223" s="4"/>
      <c r="WHS1223" s="4"/>
      <c r="WHT1223" s="18"/>
      <c r="WHU1223" s="3"/>
      <c r="WHV1223" s="4"/>
      <c r="WHW1223" s="4"/>
      <c r="WHX1223" s="18"/>
      <c r="WHY1223" s="3"/>
      <c r="WHZ1223" s="4"/>
      <c r="WIA1223" s="4"/>
      <c r="WIB1223" s="18"/>
      <c r="WIC1223" s="3"/>
      <c r="WID1223" s="4"/>
      <c r="WIE1223" s="4"/>
      <c r="WIF1223" s="18"/>
      <c r="WIG1223" s="3"/>
      <c r="WIH1223" s="4"/>
      <c r="WII1223" s="4"/>
      <c r="WIJ1223" s="18"/>
      <c r="WIK1223" s="3"/>
      <c r="WIL1223" s="4"/>
      <c r="WIM1223" s="4"/>
      <c r="WIN1223" s="18"/>
      <c r="WIO1223" s="3"/>
      <c r="WIP1223" s="4"/>
      <c r="WIQ1223" s="4"/>
      <c r="WIR1223" s="18"/>
      <c r="WIS1223" s="3"/>
      <c r="WIT1223" s="4"/>
      <c r="WIU1223" s="4"/>
      <c r="WIV1223" s="18"/>
      <c r="WIW1223" s="3"/>
      <c r="WIX1223" s="4"/>
      <c r="WIY1223" s="4"/>
      <c r="WIZ1223" s="18"/>
      <c r="WJA1223" s="3"/>
      <c r="WJB1223" s="4"/>
      <c r="WJC1223" s="4"/>
      <c r="WJD1223" s="18"/>
      <c r="WJE1223" s="3"/>
      <c r="WJF1223" s="4"/>
      <c r="WJG1223" s="4"/>
      <c r="WJH1223" s="18"/>
      <c r="WJI1223" s="3"/>
      <c r="WJJ1223" s="4"/>
      <c r="WJK1223" s="4"/>
      <c r="WJL1223" s="18"/>
      <c r="WJM1223" s="3"/>
      <c r="WJN1223" s="4"/>
      <c r="WJO1223" s="4"/>
      <c r="WJP1223" s="18"/>
      <c r="WJQ1223" s="3"/>
      <c r="WJR1223" s="4"/>
      <c r="WJS1223" s="4"/>
      <c r="WJT1223" s="18"/>
      <c r="WJU1223" s="3"/>
      <c r="WJV1223" s="4"/>
      <c r="WJW1223" s="4"/>
      <c r="WJX1223" s="18"/>
      <c r="WJY1223" s="3"/>
      <c r="WJZ1223" s="4"/>
      <c r="WKA1223" s="4"/>
      <c r="WKB1223" s="18"/>
      <c r="WKC1223" s="3"/>
      <c r="WKD1223" s="4"/>
      <c r="WKE1223" s="4"/>
      <c r="WKF1223" s="18"/>
      <c r="WKG1223" s="3"/>
      <c r="WKH1223" s="4"/>
      <c r="WKI1223" s="4"/>
      <c r="WKJ1223" s="18"/>
      <c r="WKK1223" s="3"/>
      <c r="WKL1223" s="4"/>
      <c r="WKM1223" s="4"/>
      <c r="WKN1223" s="18"/>
      <c r="WKO1223" s="3"/>
      <c r="WKP1223" s="4"/>
      <c r="WKQ1223" s="4"/>
      <c r="WKR1223" s="18"/>
      <c r="WKS1223" s="3"/>
      <c r="WKT1223" s="4"/>
      <c r="WKU1223" s="4"/>
      <c r="WKV1223" s="18"/>
      <c r="WKW1223" s="3"/>
      <c r="WKX1223" s="4"/>
      <c r="WKY1223" s="4"/>
      <c r="WKZ1223" s="18"/>
      <c r="WLA1223" s="3"/>
      <c r="WLB1223" s="4"/>
      <c r="WLC1223" s="4"/>
      <c r="WLD1223" s="18"/>
      <c r="WLE1223" s="3"/>
      <c r="WLF1223" s="4"/>
      <c r="WLG1223" s="4"/>
      <c r="WLH1223" s="18"/>
      <c r="WLI1223" s="3"/>
      <c r="WLJ1223" s="4"/>
      <c r="WLK1223" s="4"/>
      <c r="WLL1223" s="18"/>
      <c r="WLM1223" s="3"/>
      <c r="WLN1223" s="4"/>
      <c r="WLO1223" s="4"/>
      <c r="WLP1223" s="18"/>
      <c r="WLQ1223" s="3"/>
      <c r="WLR1223" s="4"/>
      <c r="WLS1223" s="4"/>
      <c r="WLT1223" s="18"/>
      <c r="WLU1223" s="3"/>
      <c r="WLV1223" s="4"/>
      <c r="WLW1223" s="4"/>
      <c r="WLX1223" s="18"/>
      <c r="WLY1223" s="3"/>
      <c r="WLZ1223" s="4"/>
      <c r="WMA1223" s="4"/>
      <c r="WMB1223" s="18"/>
      <c r="WMC1223" s="3"/>
      <c r="WMD1223" s="4"/>
      <c r="WME1223" s="4"/>
      <c r="WMF1223" s="18"/>
      <c r="WMG1223" s="3"/>
      <c r="WMH1223" s="4"/>
      <c r="WMI1223" s="4"/>
      <c r="WMJ1223" s="18"/>
      <c r="WMK1223" s="3"/>
      <c r="WML1223" s="4"/>
      <c r="WMM1223" s="4"/>
      <c r="WMN1223" s="18"/>
      <c r="WMO1223" s="3"/>
      <c r="WMP1223" s="4"/>
      <c r="WMQ1223" s="4"/>
      <c r="WMR1223" s="18"/>
      <c r="WMS1223" s="3"/>
      <c r="WMT1223" s="4"/>
      <c r="WMU1223" s="4"/>
      <c r="WMV1223" s="18"/>
      <c r="WMW1223" s="3"/>
      <c r="WMX1223" s="4"/>
      <c r="WMY1223" s="4"/>
      <c r="WMZ1223" s="18"/>
      <c r="WNA1223" s="3"/>
      <c r="WNB1223" s="4"/>
      <c r="WNC1223" s="4"/>
      <c r="WND1223" s="18"/>
      <c r="WNE1223" s="3"/>
      <c r="WNF1223" s="4"/>
      <c r="WNG1223" s="4"/>
      <c r="WNH1223" s="18"/>
      <c r="WNI1223" s="3"/>
      <c r="WNJ1223" s="4"/>
      <c r="WNK1223" s="4"/>
      <c r="WNL1223" s="18"/>
      <c r="WNM1223" s="3"/>
      <c r="WNN1223" s="4"/>
      <c r="WNO1223" s="4"/>
      <c r="WNP1223" s="18"/>
      <c r="WNQ1223" s="3"/>
      <c r="WNR1223" s="4"/>
      <c r="WNS1223" s="4"/>
      <c r="WNT1223" s="18"/>
      <c r="WNU1223" s="3"/>
      <c r="WNV1223" s="4"/>
      <c r="WNW1223" s="4"/>
      <c r="WNX1223" s="18"/>
      <c r="WNY1223" s="3"/>
      <c r="WNZ1223" s="4"/>
      <c r="WOA1223" s="4"/>
      <c r="WOB1223" s="18"/>
      <c r="WOC1223" s="3"/>
      <c r="WOD1223" s="4"/>
      <c r="WOE1223" s="4"/>
      <c r="WOF1223" s="18"/>
      <c r="WOG1223" s="3"/>
      <c r="WOH1223" s="4"/>
      <c r="WOI1223" s="4"/>
      <c r="WOJ1223" s="18"/>
      <c r="WOK1223" s="3"/>
      <c r="WOL1223" s="4"/>
      <c r="WOM1223" s="4"/>
      <c r="WON1223" s="18"/>
      <c r="WOO1223" s="3"/>
      <c r="WOP1223" s="4"/>
      <c r="WOQ1223" s="4"/>
      <c r="WOR1223" s="18"/>
      <c r="WOS1223" s="3"/>
      <c r="WOT1223" s="4"/>
      <c r="WOU1223" s="4"/>
      <c r="WOV1223" s="18"/>
      <c r="WOW1223" s="3"/>
      <c r="WOX1223" s="4"/>
      <c r="WOY1223" s="4"/>
      <c r="WOZ1223" s="18"/>
      <c r="WPA1223" s="3"/>
      <c r="WPB1223" s="4"/>
      <c r="WPC1223" s="4"/>
      <c r="WPD1223" s="18"/>
      <c r="WPE1223" s="3"/>
      <c r="WPF1223" s="4"/>
      <c r="WPG1223" s="4"/>
      <c r="WPH1223" s="18"/>
      <c r="WPI1223" s="3"/>
      <c r="WPJ1223" s="4"/>
      <c r="WPK1223" s="4"/>
      <c r="WPL1223" s="18"/>
      <c r="WPM1223" s="3"/>
      <c r="WPN1223" s="4"/>
      <c r="WPO1223" s="4"/>
      <c r="WPP1223" s="18"/>
      <c r="WPQ1223" s="3"/>
      <c r="WPR1223" s="4"/>
      <c r="WPS1223" s="4"/>
      <c r="WPT1223" s="18"/>
      <c r="WPU1223" s="3"/>
      <c r="WPV1223" s="4"/>
      <c r="WPW1223" s="4"/>
      <c r="WPX1223" s="18"/>
      <c r="WPY1223" s="3"/>
      <c r="WPZ1223" s="4"/>
      <c r="WQA1223" s="4"/>
      <c r="WQB1223" s="18"/>
      <c r="WQC1223" s="3"/>
      <c r="WQD1223" s="4"/>
      <c r="WQE1223" s="4"/>
      <c r="WQF1223" s="18"/>
      <c r="WQG1223" s="3"/>
      <c r="WQH1223" s="4"/>
      <c r="WQI1223" s="4"/>
      <c r="WQJ1223" s="18"/>
      <c r="WQK1223" s="3"/>
      <c r="WQL1223" s="4"/>
      <c r="WQM1223" s="4"/>
      <c r="WQN1223" s="18"/>
      <c r="WQO1223" s="3"/>
      <c r="WQP1223" s="4"/>
      <c r="WQQ1223" s="4"/>
      <c r="WQR1223" s="18"/>
      <c r="WQS1223" s="3"/>
      <c r="WQT1223" s="4"/>
      <c r="WQU1223" s="4"/>
      <c r="WQV1223" s="18"/>
      <c r="WQW1223" s="3"/>
      <c r="WQX1223" s="4"/>
      <c r="WQY1223" s="4"/>
      <c r="WQZ1223" s="18"/>
      <c r="WRA1223" s="3"/>
      <c r="WRB1223" s="4"/>
      <c r="WRC1223" s="4"/>
      <c r="WRD1223" s="18"/>
      <c r="WRE1223" s="3"/>
      <c r="WRF1223" s="4"/>
      <c r="WRG1223" s="4"/>
      <c r="WRH1223" s="18"/>
      <c r="WRI1223" s="3"/>
      <c r="WRJ1223" s="4"/>
      <c r="WRK1223" s="4"/>
      <c r="WRL1223" s="18"/>
      <c r="WRM1223" s="3"/>
      <c r="WRN1223" s="4"/>
      <c r="WRO1223" s="4"/>
      <c r="WRP1223" s="18"/>
      <c r="WRQ1223" s="3"/>
      <c r="WRR1223" s="4"/>
      <c r="WRS1223" s="4"/>
      <c r="WRT1223" s="18"/>
      <c r="WRU1223" s="3"/>
      <c r="WRV1223" s="4"/>
      <c r="WRW1223" s="4"/>
      <c r="WRX1223" s="18"/>
      <c r="WRY1223" s="3"/>
      <c r="WRZ1223" s="4"/>
      <c r="WSA1223" s="4"/>
      <c r="WSB1223" s="18"/>
      <c r="WSC1223" s="3"/>
      <c r="WSD1223" s="4"/>
      <c r="WSE1223" s="4"/>
      <c r="WSF1223" s="18"/>
      <c r="WSG1223" s="3"/>
      <c r="WSH1223" s="4"/>
      <c r="WSI1223" s="4"/>
      <c r="WSJ1223" s="18"/>
      <c r="WSK1223" s="3"/>
      <c r="WSL1223" s="4"/>
      <c r="WSM1223" s="4"/>
      <c r="WSN1223" s="18"/>
      <c r="WSO1223" s="3"/>
      <c r="WSP1223" s="4"/>
      <c r="WSQ1223" s="4"/>
      <c r="WSR1223" s="18"/>
      <c r="WSS1223" s="3"/>
      <c r="WST1223" s="4"/>
      <c r="WSU1223" s="4"/>
      <c r="WSV1223" s="18"/>
      <c r="WSW1223" s="3"/>
      <c r="WSX1223" s="4"/>
      <c r="WSY1223" s="4"/>
      <c r="WSZ1223" s="18"/>
      <c r="WTA1223" s="3"/>
      <c r="WTB1223" s="4"/>
      <c r="WTC1223" s="4"/>
      <c r="WTD1223" s="18"/>
      <c r="WTE1223" s="3"/>
      <c r="WTF1223" s="4"/>
      <c r="WTG1223" s="4"/>
      <c r="WTH1223" s="18"/>
      <c r="WTI1223" s="3"/>
      <c r="WTJ1223" s="4"/>
      <c r="WTK1223" s="4"/>
      <c r="WTL1223" s="18"/>
      <c r="WTM1223" s="3"/>
      <c r="WTN1223" s="4"/>
      <c r="WTO1223" s="4"/>
      <c r="WTP1223" s="18"/>
      <c r="WTQ1223" s="3"/>
      <c r="WTR1223" s="4"/>
      <c r="WTS1223" s="4"/>
      <c r="WTT1223" s="18"/>
      <c r="WTU1223" s="3"/>
      <c r="WTV1223" s="4"/>
      <c r="WTW1223" s="4"/>
      <c r="WTX1223" s="18"/>
      <c r="WTY1223" s="3"/>
      <c r="WTZ1223" s="4"/>
      <c r="WUA1223" s="4"/>
      <c r="WUB1223" s="18"/>
      <c r="WUC1223" s="3"/>
      <c r="WUD1223" s="4"/>
      <c r="WUE1223" s="4"/>
      <c r="WUF1223" s="18"/>
      <c r="WUG1223" s="3"/>
      <c r="WUH1223" s="4"/>
      <c r="WUI1223" s="4"/>
      <c r="WUJ1223" s="18"/>
      <c r="WUK1223" s="3"/>
      <c r="WUL1223" s="4"/>
      <c r="WUM1223" s="4"/>
      <c r="WUN1223" s="18"/>
      <c r="WUO1223" s="3"/>
      <c r="WUP1223" s="4"/>
      <c r="WUQ1223" s="4"/>
      <c r="WUR1223" s="18"/>
      <c r="WUS1223" s="3"/>
      <c r="WUT1223" s="4"/>
      <c r="WUU1223" s="4"/>
      <c r="WUV1223" s="18"/>
      <c r="WUW1223" s="3"/>
      <c r="WUX1223" s="4"/>
      <c r="WUY1223" s="4"/>
      <c r="WUZ1223" s="18"/>
      <c r="WVA1223" s="3"/>
      <c r="WVB1223" s="4"/>
      <c r="WVC1223" s="4"/>
      <c r="WVD1223" s="18"/>
      <c r="WVE1223" s="3"/>
      <c r="WVF1223" s="4"/>
      <c r="WVG1223" s="4"/>
      <c r="WVH1223" s="18"/>
      <c r="WVI1223" s="3"/>
      <c r="WVJ1223" s="4"/>
      <c r="WVK1223" s="4"/>
      <c r="WVL1223" s="18"/>
      <c r="WVM1223" s="3"/>
      <c r="WVN1223" s="4"/>
      <c r="WVO1223" s="4"/>
      <c r="WVP1223" s="18"/>
      <c r="WVQ1223" s="3"/>
      <c r="WVR1223" s="4"/>
      <c r="WVS1223" s="4"/>
      <c r="WVT1223" s="18"/>
      <c r="WVU1223" s="3"/>
      <c r="WVV1223" s="4"/>
      <c r="WVW1223" s="4"/>
      <c r="WVX1223" s="18"/>
      <c r="WVY1223" s="3"/>
      <c r="WVZ1223" s="4"/>
      <c r="WWA1223" s="4"/>
      <c r="WWB1223" s="18"/>
      <c r="WWC1223" s="3"/>
      <c r="WWD1223" s="4"/>
      <c r="WWE1223" s="4"/>
      <c r="WWF1223" s="18"/>
      <c r="WWG1223" s="3"/>
      <c r="WWH1223" s="4"/>
      <c r="WWI1223" s="4"/>
      <c r="WWJ1223" s="18"/>
      <c r="WWK1223" s="3"/>
      <c r="WWL1223" s="4"/>
      <c r="WWM1223" s="4"/>
      <c r="WWN1223" s="18"/>
      <c r="WWO1223" s="3"/>
      <c r="WWP1223" s="4"/>
      <c r="WWQ1223" s="4"/>
      <c r="WWR1223" s="18"/>
      <c r="WWS1223" s="3"/>
      <c r="WWT1223" s="4"/>
      <c r="WWU1223" s="4"/>
      <c r="WWV1223" s="18"/>
      <c r="WWW1223" s="3"/>
      <c r="WWX1223" s="4"/>
      <c r="WWY1223" s="4"/>
      <c r="WWZ1223" s="18"/>
      <c r="WXA1223" s="3"/>
      <c r="WXB1223" s="4"/>
      <c r="WXC1223" s="4"/>
      <c r="WXD1223" s="18"/>
      <c r="WXE1223" s="3"/>
      <c r="WXF1223" s="4"/>
      <c r="WXG1223" s="4"/>
      <c r="WXH1223" s="18"/>
      <c r="WXI1223" s="3"/>
      <c r="WXJ1223" s="4"/>
      <c r="WXK1223" s="4"/>
      <c r="WXL1223" s="18"/>
      <c r="WXM1223" s="3"/>
      <c r="WXN1223" s="4"/>
      <c r="WXO1223" s="4"/>
      <c r="WXP1223" s="18"/>
      <c r="WXQ1223" s="3"/>
      <c r="WXR1223" s="4"/>
      <c r="WXS1223" s="4"/>
      <c r="WXT1223" s="18"/>
      <c r="WXU1223" s="3"/>
      <c r="WXV1223" s="4"/>
      <c r="WXW1223" s="4"/>
      <c r="WXX1223" s="18"/>
      <c r="WXY1223" s="3"/>
      <c r="WXZ1223" s="4"/>
      <c r="WYA1223" s="4"/>
      <c r="WYB1223" s="18"/>
      <c r="WYC1223" s="3"/>
      <c r="WYD1223" s="4"/>
      <c r="WYE1223" s="4"/>
      <c r="WYF1223" s="18"/>
      <c r="WYG1223" s="3"/>
      <c r="WYH1223" s="4"/>
      <c r="WYI1223" s="4"/>
      <c r="WYJ1223" s="18"/>
      <c r="WYK1223" s="3"/>
      <c r="WYL1223" s="4"/>
      <c r="WYM1223" s="4"/>
      <c r="WYN1223" s="18"/>
      <c r="WYO1223" s="3"/>
      <c r="WYP1223" s="4"/>
      <c r="WYQ1223" s="4"/>
      <c r="WYR1223" s="18"/>
      <c r="WYS1223" s="3"/>
      <c r="WYT1223" s="4"/>
      <c r="WYU1223" s="4"/>
      <c r="WYV1223" s="18"/>
      <c r="WYW1223" s="3"/>
      <c r="WYX1223" s="4"/>
      <c r="WYY1223" s="4"/>
      <c r="WYZ1223" s="18"/>
      <c r="WZA1223" s="3"/>
      <c r="WZB1223" s="4"/>
      <c r="WZC1223" s="4"/>
      <c r="WZD1223" s="18"/>
      <c r="WZE1223" s="3"/>
      <c r="WZF1223" s="4"/>
      <c r="WZG1223" s="4"/>
      <c r="WZH1223" s="18"/>
      <c r="WZI1223" s="3"/>
      <c r="WZJ1223" s="4"/>
      <c r="WZK1223" s="4"/>
      <c r="WZL1223" s="18"/>
      <c r="WZM1223" s="3"/>
      <c r="WZN1223" s="4"/>
      <c r="WZO1223" s="4"/>
      <c r="WZP1223" s="18"/>
      <c r="WZQ1223" s="3"/>
      <c r="WZR1223" s="4"/>
      <c r="WZS1223" s="4"/>
      <c r="WZT1223" s="18"/>
      <c r="WZU1223" s="3"/>
      <c r="WZV1223" s="4"/>
      <c r="WZW1223" s="4"/>
      <c r="WZX1223" s="18"/>
      <c r="WZY1223" s="3"/>
      <c r="WZZ1223" s="4"/>
      <c r="XAA1223" s="4"/>
      <c r="XAB1223" s="18"/>
      <c r="XAC1223" s="3"/>
      <c r="XAD1223" s="4"/>
      <c r="XAE1223" s="4"/>
      <c r="XAF1223" s="18"/>
      <c r="XAG1223" s="3"/>
      <c r="XAH1223" s="4"/>
      <c r="XAI1223" s="4"/>
      <c r="XAJ1223" s="18"/>
      <c r="XAK1223" s="3"/>
      <c r="XAL1223" s="4"/>
      <c r="XAM1223" s="4"/>
      <c r="XAN1223" s="18"/>
      <c r="XAO1223" s="3"/>
      <c r="XAP1223" s="4"/>
      <c r="XAQ1223" s="4"/>
      <c r="XAR1223" s="18"/>
      <c r="XAS1223" s="3"/>
      <c r="XAT1223" s="4"/>
      <c r="XAU1223" s="4"/>
      <c r="XAV1223" s="18"/>
      <c r="XAW1223" s="3"/>
      <c r="XAX1223" s="4"/>
      <c r="XAY1223" s="4"/>
      <c r="XAZ1223" s="18"/>
      <c r="XBA1223" s="3"/>
      <c r="XBB1223" s="4"/>
      <c r="XBC1223" s="4"/>
      <c r="XBD1223" s="18"/>
      <c r="XBE1223" s="3"/>
      <c r="XBF1223" s="4"/>
      <c r="XBG1223" s="4"/>
      <c r="XBH1223" s="18"/>
      <c r="XBI1223" s="3"/>
      <c r="XBJ1223" s="4"/>
      <c r="XBK1223" s="4"/>
      <c r="XBL1223" s="18"/>
      <c r="XBM1223" s="3"/>
      <c r="XBN1223" s="4"/>
      <c r="XBO1223" s="4"/>
      <c r="XBP1223" s="18"/>
      <c r="XBQ1223" s="3"/>
      <c r="XBR1223" s="4"/>
      <c r="XBS1223" s="4"/>
      <c r="XBT1223" s="18"/>
      <c r="XBU1223" s="3"/>
      <c r="XBV1223" s="4"/>
      <c r="XBW1223" s="4"/>
      <c r="XBX1223" s="18"/>
      <c r="XBY1223" s="3"/>
      <c r="XBZ1223" s="4"/>
      <c r="XCA1223" s="4"/>
      <c r="XCB1223" s="18"/>
      <c r="XCC1223" s="3"/>
      <c r="XCD1223" s="4"/>
      <c r="XCE1223" s="4"/>
      <c r="XCF1223" s="18"/>
      <c r="XCG1223" s="3"/>
      <c r="XCH1223" s="4"/>
      <c r="XCI1223" s="4"/>
      <c r="XCJ1223" s="18"/>
      <c r="XCK1223" s="3"/>
      <c r="XCL1223" s="4"/>
      <c r="XCM1223" s="4"/>
      <c r="XCN1223" s="18"/>
      <c r="XCO1223" s="3"/>
      <c r="XCP1223" s="4"/>
      <c r="XCQ1223" s="4"/>
      <c r="XCR1223" s="18"/>
      <c r="XCS1223" s="3"/>
      <c r="XCT1223" s="4"/>
      <c r="XCU1223" s="4"/>
      <c r="XCV1223" s="18"/>
      <c r="XCW1223" s="3"/>
      <c r="XCX1223" s="4"/>
      <c r="XCY1223" s="4"/>
      <c r="XCZ1223" s="18"/>
      <c r="XDA1223" s="3"/>
      <c r="XDB1223" s="4"/>
      <c r="XDC1223" s="4"/>
      <c r="XDD1223" s="18"/>
      <c r="XDE1223" s="3"/>
      <c r="XDF1223" s="4"/>
      <c r="XDG1223" s="4"/>
      <c r="XDH1223" s="18"/>
      <c r="XDI1223" s="3"/>
      <c r="XDJ1223" s="4"/>
      <c r="XDK1223" s="4"/>
      <c r="XDL1223" s="18"/>
      <c r="XDM1223" s="3"/>
      <c r="XDN1223" s="4"/>
      <c r="XDO1223" s="4"/>
      <c r="XDP1223" s="18"/>
      <c r="XDQ1223" s="3"/>
      <c r="XDR1223" s="4"/>
      <c r="XDS1223" s="4"/>
      <c r="XDT1223" s="18"/>
      <c r="XDU1223" s="3"/>
      <c r="XDV1223" s="4"/>
      <c r="XDW1223" s="4"/>
      <c r="XDX1223" s="18"/>
      <c r="XDY1223" s="3"/>
      <c r="XDZ1223" s="4"/>
      <c r="XEA1223" s="4"/>
      <c r="XEB1223" s="18"/>
      <c r="XEC1223" s="3"/>
      <c r="XED1223" s="4"/>
      <c r="XEE1223" s="4"/>
      <c r="XEF1223" s="18"/>
      <c r="XEG1223" s="3"/>
      <c r="XEH1223" s="4"/>
      <c r="XEI1223" s="4"/>
      <c r="XEJ1223" s="18"/>
      <c r="XEK1223" s="3"/>
      <c r="XEL1223" s="4"/>
      <c r="XEM1223" s="4"/>
      <c r="XEN1223" s="18"/>
      <c r="XEO1223" s="3"/>
      <c r="XEP1223" s="4"/>
      <c r="XEQ1223" s="4"/>
      <c r="XER1223" s="18"/>
      <c r="XES1223" s="3"/>
      <c r="XET1223" s="4"/>
      <c r="XEU1223" s="4"/>
      <c r="XEV1223" s="18"/>
      <c r="XEW1223" s="3"/>
      <c r="XEX1223" s="4"/>
      <c r="XEY1223" s="4"/>
      <c r="XEZ1223" s="18"/>
      <c r="XFA1223" s="3"/>
      <c r="XFB1223" s="4"/>
      <c r="XFC1223" s="4"/>
      <c r="XFD1223" s="18"/>
    </row>
    <row r="1224" spans="1:16384" ht="15">
      <c r="A1224" s="35" t="s">
        <v>2912</v>
      </c>
      <c r="B1224" s="9" t="s">
        <v>2706</v>
      </c>
      <c r="C1224" s="9">
        <v>3</v>
      </c>
      <c r="D1224" s="36">
        <v>42317</v>
      </c>
      <c r="G1224" s="2">
        <v>3</v>
      </c>
      <c r="H1224" s="1">
        <v>42299</v>
      </c>
    </row>
    <row r="1225" spans="1:16384" ht="15">
      <c r="A1225" s="35" t="s">
        <v>2913</v>
      </c>
      <c r="B1225" s="9" t="s">
        <v>2708</v>
      </c>
      <c r="C1225" s="9">
        <v>3</v>
      </c>
      <c r="D1225" s="36">
        <v>42317</v>
      </c>
      <c r="G1225" s="2">
        <v>3</v>
      </c>
      <c r="H1225" s="1">
        <v>42299</v>
      </c>
    </row>
    <row r="1226" spans="1:16384" ht="15">
      <c r="A1226" s="35" t="s">
        <v>2914</v>
      </c>
      <c r="B1226" s="9" t="s">
        <v>2907</v>
      </c>
      <c r="C1226" s="9">
        <v>3</v>
      </c>
      <c r="D1226" s="36">
        <v>42317</v>
      </c>
      <c r="G1226" s="2">
        <v>3</v>
      </c>
      <c r="H1226" s="1">
        <v>42299</v>
      </c>
    </row>
    <row r="1227" spans="1:16384" ht="15">
      <c r="A1227" s="35" t="s">
        <v>2917</v>
      </c>
      <c r="B1227" s="9" t="s">
        <v>2118</v>
      </c>
      <c r="C1227" s="9">
        <v>3</v>
      </c>
      <c r="D1227" s="36">
        <v>42317</v>
      </c>
      <c r="G1227" s="2">
        <v>3</v>
      </c>
      <c r="H1227" s="1">
        <v>42299</v>
      </c>
    </row>
    <row r="1228" spans="1:16384" ht="15">
      <c r="A1228" s="35" t="s">
        <v>2923</v>
      </c>
      <c r="B1228" s="9" t="s">
        <v>2960</v>
      </c>
      <c r="C1228" s="9">
        <v>3</v>
      </c>
      <c r="D1228" s="36">
        <v>42317</v>
      </c>
      <c r="G1228" s="2">
        <v>3</v>
      </c>
      <c r="H1228" s="1">
        <v>42299</v>
      </c>
    </row>
    <row r="1229" spans="1:16384" ht="15">
      <c r="A1229" s="35" t="s">
        <v>2924</v>
      </c>
      <c r="B1229" s="9" t="s">
        <v>2910</v>
      </c>
      <c r="C1229" s="9">
        <v>3</v>
      </c>
      <c r="D1229" s="36">
        <v>42317</v>
      </c>
      <c r="G1229" s="2">
        <v>3</v>
      </c>
      <c r="H1229" s="1">
        <v>42299</v>
      </c>
    </row>
    <row r="1230" spans="1:16384" ht="15">
      <c r="A1230" s="35" t="s">
        <v>2926</v>
      </c>
      <c r="B1230" s="9" t="s">
        <v>2911</v>
      </c>
      <c r="C1230" s="9">
        <v>3</v>
      </c>
      <c r="D1230" s="36">
        <v>42317</v>
      </c>
      <c r="G1230" s="2">
        <v>3</v>
      </c>
      <c r="H1230" s="1">
        <v>42299</v>
      </c>
    </row>
    <row r="1231" spans="1:16384" ht="15">
      <c r="A1231" s="35" t="s">
        <v>2928</v>
      </c>
      <c r="B1231" s="9" t="s">
        <v>2961</v>
      </c>
      <c r="C1231" s="9">
        <v>3</v>
      </c>
      <c r="D1231" s="36">
        <v>42317</v>
      </c>
      <c r="G1231" s="2">
        <v>3</v>
      </c>
      <c r="H1231" s="1">
        <v>42299</v>
      </c>
    </row>
    <row r="1232" spans="1:16384" ht="15">
      <c r="A1232" s="35" t="s">
        <v>2931</v>
      </c>
      <c r="B1232" s="9" t="s">
        <v>2962</v>
      </c>
      <c r="C1232" s="9">
        <v>3</v>
      </c>
      <c r="D1232" s="36">
        <v>42317</v>
      </c>
      <c r="G1232" s="2">
        <v>3</v>
      </c>
      <c r="H1232" s="1">
        <v>42299</v>
      </c>
    </row>
    <row r="1233" spans="1:8" ht="15">
      <c r="A1233" s="39" t="s">
        <v>2932</v>
      </c>
      <c r="B1233" s="40" t="s">
        <v>2915</v>
      </c>
      <c r="C1233" s="9">
        <v>3</v>
      </c>
      <c r="D1233" s="36">
        <v>42317</v>
      </c>
      <c r="G1233" s="2">
        <v>3</v>
      </c>
      <c r="H1233" s="1">
        <v>42299</v>
      </c>
    </row>
    <row r="1234" spans="1:8" ht="15">
      <c r="A1234" s="39" t="s">
        <v>2933</v>
      </c>
      <c r="B1234" s="40" t="s">
        <v>2916</v>
      </c>
      <c r="C1234" s="9">
        <v>3</v>
      </c>
      <c r="D1234" s="36">
        <v>42317</v>
      </c>
      <c r="G1234" s="2">
        <v>3</v>
      </c>
      <c r="H1234" s="1">
        <v>42299</v>
      </c>
    </row>
    <row r="1235" spans="1:8" ht="15">
      <c r="A1235" s="39" t="s">
        <v>2989</v>
      </c>
      <c r="B1235" s="40" t="s">
        <v>2966</v>
      </c>
      <c r="C1235" s="9">
        <v>3</v>
      </c>
      <c r="D1235" s="36">
        <v>42317</v>
      </c>
      <c r="G1235" s="2">
        <v>3</v>
      </c>
      <c r="H1235" s="1">
        <v>42299</v>
      </c>
    </row>
    <row r="1236" spans="1:8" ht="15">
      <c r="A1236" s="35" t="s">
        <v>2935</v>
      </c>
      <c r="B1236" s="9" t="s">
        <v>2840</v>
      </c>
      <c r="C1236" s="9">
        <v>3</v>
      </c>
      <c r="D1236" s="36">
        <v>42317</v>
      </c>
      <c r="G1236" s="2">
        <v>3</v>
      </c>
      <c r="H1236" s="1">
        <v>42299</v>
      </c>
    </row>
    <row r="1237" spans="1:8" ht="15">
      <c r="A1237" s="35" t="s">
        <v>2936</v>
      </c>
      <c r="B1237" s="9" t="s">
        <v>2918</v>
      </c>
      <c r="C1237" s="9">
        <v>3</v>
      </c>
      <c r="D1237" s="36">
        <v>42317</v>
      </c>
      <c r="G1237" s="2">
        <v>3</v>
      </c>
      <c r="H1237" s="1">
        <v>42299</v>
      </c>
    </row>
    <row r="1238" spans="1:8" ht="15">
      <c r="A1238" s="35" t="s">
        <v>2981</v>
      </c>
      <c r="B1238" s="9" t="s">
        <v>2919</v>
      </c>
      <c r="C1238" s="9">
        <v>3</v>
      </c>
      <c r="D1238" s="36">
        <v>42317</v>
      </c>
      <c r="G1238" s="2">
        <v>3</v>
      </c>
      <c r="H1238" s="1">
        <v>42299</v>
      </c>
    </row>
    <row r="1239" spans="1:8" ht="15">
      <c r="A1239" s="35" t="s">
        <v>2982</v>
      </c>
      <c r="B1239" s="9" t="s">
        <v>2920</v>
      </c>
      <c r="C1239" s="9">
        <v>3</v>
      </c>
      <c r="D1239" s="36">
        <v>42317</v>
      </c>
      <c r="G1239" s="2">
        <v>3</v>
      </c>
      <c r="H1239" s="1">
        <v>42299</v>
      </c>
    </row>
    <row r="1240" spans="1:8" ht="15">
      <c r="A1240" s="35" t="s">
        <v>2990</v>
      </c>
      <c r="B1240" s="9" t="s">
        <v>2921</v>
      </c>
      <c r="C1240" s="9">
        <v>3</v>
      </c>
      <c r="D1240" s="36">
        <v>42317</v>
      </c>
      <c r="G1240" s="2">
        <v>3</v>
      </c>
      <c r="H1240" s="1">
        <v>42299</v>
      </c>
    </row>
    <row r="1241" spans="1:8" ht="15">
      <c r="A1241" s="35" t="s">
        <v>2991</v>
      </c>
      <c r="B1241" s="9" t="s">
        <v>2922</v>
      </c>
      <c r="C1241" s="9">
        <v>3</v>
      </c>
      <c r="D1241" s="36">
        <v>42317</v>
      </c>
      <c r="G1241" s="2">
        <v>3</v>
      </c>
      <c r="H1241" s="1">
        <v>42299</v>
      </c>
    </row>
    <row r="1242" spans="1:8" ht="15">
      <c r="A1242" s="35" t="s">
        <v>2938</v>
      </c>
      <c r="B1242" s="9" t="s">
        <v>1935</v>
      </c>
      <c r="C1242" s="9">
        <v>3</v>
      </c>
      <c r="D1242" s="36">
        <v>42317</v>
      </c>
      <c r="G1242" s="2">
        <v>3</v>
      </c>
      <c r="H1242" s="1">
        <v>42299</v>
      </c>
    </row>
    <row r="1243" spans="1:8" ht="15">
      <c r="A1243" s="35" t="s">
        <v>2983</v>
      </c>
      <c r="B1243" s="9" t="s">
        <v>2925</v>
      </c>
      <c r="C1243" s="9">
        <v>3</v>
      </c>
      <c r="D1243" s="36">
        <v>42317</v>
      </c>
      <c r="G1243" s="2">
        <v>3</v>
      </c>
      <c r="H1243" s="1">
        <v>42299</v>
      </c>
    </row>
    <row r="1244" spans="1:8" ht="15">
      <c r="A1244" s="35" t="s">
        <v>2984</v>
      </c>
      <c r="B1244" s="9" t="s">
        <v>2927</v>
      </c>
      <c r="C1244" s="9">
        <v>3</v>
      </c>
      <c r="D1244" s="36">
        <v>42317</v>
      </c>
      <c r="G1244" s="2">
        <v>3</v>
      </c>
      <c r="H1244" s="1">
        <v>42299</v>
      </c>
    </row>
    <row r="1245" spans="1:8" ht="15">
      <c r="A1245" s="35" t="s">
        <v>2939</v>
      </c>
      <c r="B1245" s="9" t="s">
        <v>2195</v>
      </c>
      <c r="C1245" s="9">
        <v>3</v>
      </c>
      <c r="D1245" s="36">
        <v>42317</v>
      </c>
      <c r="G1245" s="2">
        <v>3</v>
      </c>
      <c r="H1245" s="1">
        <v>42299</v>
      </c>
    </row>
    <row r="1246" spans="1:8" ht="15">
      <c r="A1246" s="35" t="s">
        <v>2941</v>
      </c>
      <c r="B1246" s="9" t="s">
        <v>2929</v>
      </c>
      <c r="C1246" s="9">
        <v>3</v>
      </c>
      <c r="D1246" s="36">
        <v>42317</v>
      </c>
      <c r="G1246" s="2">
        <v>3</v>
      </c>
      <c r="H1246" s="1">
        <v>42299</v>
      </c>
    </row>
    <row r="1247" spans="1:8" ht="15">
      <c r="A1247" s="35" t="s">
        <v>2942</v>
      </c>
      <c r="B1247" s="9" t="s">
        <v>2930</v>
      </c>
      <c r="C1247" s="9">
        <v>3</v>
      </c>
      <c r="D1247" s="36">
        <v>42317</v>
      </c>
      <c r="G1247" s="2">
        <v>3</v>
      </c>
      <c r="H1247" s="1">
        <v>42299</v>
      </c>
    </row>
    <row r="1248" spans="1:8" ht="15">
      <c r="A1248" s="35" t="s">
        <v>2944</v>
      </c>
      <c r="B1248" s="9" t="s">
        <v>2963</v>
      </c>
      <c r="C1248" s="9">
        <v>3</v>
      </c>
      <c r="D1248" s="36">
        <v>42317</v>
      </c>
      <c r="G1248" s="2">
        <v>3</v>
      </c>
      <c r="H1248" s="1">
        <v>42299</v>
      </c>
    </row>
    <row r="1249" spans="1:8" ht="15">
      <c r="A1249" s="35" t="s">
        <v>2946</v>
      </c>
      <c r="B1249" s="9" t="s">
        <v>1937</v>
      </c>
      <c r="C1249" s="9">
        <v>3</v>
      </c>
      <c r="D1249" s="36">
        <v>42317</v>
      </c>
      <c r="G1249" s="2">
        <v>3</v>
      </c>
      <c r="H1249" s="1">
        <v>42299</v>
      </c>
    </row>
    <row r="1250" spans="1:8" ht="15">
      <c r="A1250" s="35" t="s">
        <v>2947</v>
      </c>
      <c r="B1250" s="9" t="s">
        <v>2934</v>
      </c>
      <c r="C1250" s="9">
        <v>3</v>
      </c>
      <c r="D1250" s="36">
        <v>42317</v>
      </c>
      <c r="G1250" s="2">
        <v>3</v>
      </c>
      <c r="H1250" s="1">
        <v>42299</v>
      </c>
    </row>
    <row r="1251" spans="1:8" ht="15">
      <c r="A1251" s="35" t="s">
        <v>2948</v>
      </c>
      <c r="B1251" s="9" t="s">
        <v>2964</v>
      </c>
      <c r="C1251" s="9">
        <v>3</v>
      </c>
      <c r="D1251" s="36">
        <v>42317</v>
      </c>
      <c r="G1251" s="2">
        <v>3</v>
      </c>
      <c r="H1251" s="1">
        <v>42299</v>
      </c>
    </row>
    <row r="1252" spans="1:8" ht="15">
      <c r="A1252" s="35" t="s">
        <v>2952</v>
      </c>
      <c r="B1252" s="9" t="s">
        <v>2937</v>
      </c>
      <c r="C1252" s="9">
        <v>3</v>
      </c>
      <c r="D1252" s="36">
        <v>42317</v>
      </c>
      <c r="G1252" s="2">
        <v>3</v>
      </c>
      <c r="H1252" s="1">
        <v>42299</v>
      </c>
    </row>
    <row r="1253" spans="1:8" ht="15">
      <c r="A1253" s="35" t="s">
        <v>2953</v>
      </c>
      <c r="B1253" s="9" t="s">
        <v>2940</v>
      </c>
      <c r="C1253" s="9">
        <v>3</v>
      </c>
      <c r="D1253" s="36">
        <v>42317</v>
      </c>
      <c r="G1253" s="2">
        <v>3</v>
      </c>
      <c r="H1253" s="1">
        <v>42299</v>
      </c>
    </row>
    <row r="1254" spans="1:8" ht="15">
      <c r="A1254" s="35" t="s">
        <v>2954</v>
      </c>
      <c r="B1254" s="9" t="s">
        <v>2711</v>
      </c>
      <c r="C1254" s="9">
        <v>3</v>
      </c>
      <c r="D1254" s="36">
        <v>42317</v>
      </c>
      <c r="G1254" s="2">
        <v>3</v>
      </c>
      <c r="H1254" s="1">
        <v>42299</v>
      </c>
    </row>
    <row r="1255" spans="1:8" ht="15">
      <c r="A1255" s="35" t="s">
        <v>2955</v>
      </c>
      <c r="B1255" s="9" t="s">
        <v>2696</v>
      </c>
      <c r="C1255" s="9">
        <v>3</v>
      </c>
      <c r="D1255" s="36">
        <v>42317</v>
      </c>
      <c r="G1255" s="2">
        <v>3</v>
      </c>
      <c r="H1255" s="1">
        <v>42299</v>
      </c>
    </row>
    <row r="1256" spans="1:8" ht="15">
      <c r="A1256" s="35" t="s">
        <v>2971</v>
      </c>
      <c r="B1256" s="9" t="s">
        <v>2836</v>
      </c>
      <c r="C1256" s="9">
        <v>3</v>
      </c>
      <c r="D1256" s="36">
        <v>42317</v>
      </c>
      <c r="G1256" s="2">
        <v>3</v>
      </c>
      <c r="H1256" s="1">
        <v>42299</v>
      </c>
    </row>
    <row r="1257" spans="1:8" ht="15">
      <c r="A1257" s="35" t="s">
        <v>2992</v>
      </c>
      <c r="B1257" s="9" t="s">
        <v>2712</v>
      </c>
      <c r="C1257" s="9">
        <v>3</v>
      </c>
      <c r="D1257" s="36">
        <v>42317</v>
      </c>
      <c r="G1257" s="2">
        <v>3</v>
      </c>
      <c r="H1257" s="1">
        <v>42299</v>
      </c>
    </row>
    <row r="1258" spans="1:8" ht="15">
      <c r="A1258" s="35" t="s">
        <v>2993</v>
      </c>
      <c r="B1258" s="9" t="s">
        <v>2943</v>
      </c>
      <c r="C1258" s="9">
        <v>3</v>
      </c>
      <c r="D1258" s="36">
        <v>42317</v>
      </c>
      <c r="G1258" s="2">
        <v>3</v>
      </c>
      <c r="H1258" s="1">
        <v>42299</v>
      </c>
    </row>
    <row r="1259" spans="1:8" ht="15">
      <c r="A1259" s="35" t="s">
        <v>2994</v>
      </c>
      <c r="B1259" s="9" t="s">
        <v>2967</v>
      </c>
      <c r="C1259" s="9">
        <v>3</v>
      </c>
      <c r="D1259" s="36">
        <v>42317</v>
      </c>
      <c r="G1259" s="2">
        <v>3</v>
      </c>
      <c r="H1259" s="1">
        <v>42299</v>
      </c>
    </row>
    <row r="1260" spans="1:8" ht="15">
      <c r="A1260" s="35" t="s">
        <v>2995</v>
      </c>
      <c r="B1260" s="9" t="s">
        <v>2968</v>
      </c>
      <c r="C1260" s="9">
        <v>3</v>
      </c>
      <c r="D1260" s="36">
        <v>42317</v>
      </c>
      <c r="G1260" s="2">
        <v>3</v>
      </c>
      <c r="H1260" s="1">
        <v>42299</v>
      </c>
    </row>
    <row r="1261" spans="1:8" ht="15">
      <c r="A1261" s="35" t="s">
        <v>2996</v>
      </c>
      <c r="B1261" s="9" t="s">
        <v>2965</v>
      </c>
      <c r="C1261" s="9">
        <v>3</v>
      </c>
      <c r="D1261" s="36">
        <v>42317</v>
      </c>
      <c r="G1261" s="2">
        <v>3</v>
      </c>
      <c r="H1261" s="1">
        <v>42299</v>
      </c>
    </row>
    <row r="1262" spans="1:8" ht="15">
      <c r="A1262" s="35" t="s">
        <v>2959</v>
      </c>
      <c r="B1262" s="9" t="s">
        <v>2945</v>
      </c>
      <c r="C1262" s="9">
        <v>3</v>
      </c>
      <c r="D1262" s="36">
        <v>42317</v>
      </c>
      <c r="G1262" s="2">
        <v>3</v>
      </c>
      <c r="H1262" s="1">
        <v>42299</v>
      </c>
    </row>
    <row r="1263" spans="1:8" ht="15">
      <c r="A1263" s="35" t="s">
        <v>2985</v>
      </c>
      <c r="B1263" s="9" t="s">
        <v>2838</v>
      </c>
      <c r="C1263" s="9">
        <v>3</v>
      </c>
      <c r="D1263" s="36">
        <v>42317</v>
      </c>
      <c r="G1263" s="2">
        <v>3</v>
      </c>
      <c r="H1263" s="1">
        <v>42299</v>
      </c>
    </row>
    <row r="1264" spans="1:8" ht="15">
      <c r="A1264" s="35" t="s">
        <v>2986</v>
      </c>
      <c r="B1264" s="9" t="s">
        <v>2969</v>
      </c>
      <c r="C1264" s="9">
        <v>3</v>
      </c>
      <c r="D1264" s="36">
        <v>42317</v>
      </c>
      <c r="G1264" s="2">
        <v>3</v>
      </c>
      <c r="H1264" s="1">
        <v>42299</v>
      </c>
    </row>
    <row r="1265" spans="1:12" ht="15">
      <c r="A1265" s="35" t="s">
        <v>2972</v>
      </c>
      <c r="B1265" s="9" t="s">
        <v>2949</v>
      </c>
      <c r="C1265" s="9">
        <v>3</v>
      </c>
      <c r="D1265" s="36">
        <v>42317</v>
      </c>
      <c r="G1265" s="2">
        <v>3</v>
      </c>
      <c r="H1265" s="1">
        <v>42299</v>
      </c>
    </row>
    <row r="1266" spans="1:12" ht="15">
      <c r="A1266" s="35" t="s">
        <v>2974</v>
      </c>
      <c r="B1266" s="9" t="s">
        <v>2703</v>
      </c>
      <c r="C1266" s="9">
        <v>3</v>
      </c>
      <c r="D1266" s="36">
        <v>42317</v>
      </c>
      <c r="G1266" s="2">
        <v>3</v>
      </c>
      <c r="H1266" s="1">
        <v>42299</v>
      </c>
    </row>
    <row r="1267" spans="1:12" ht="15">
      <c r="A1267" s="35" t="s">
        <v>2975</v>
      </c>
      <c r="B1267" s="9" t="s">
        <v>2950</v>
      </c>
      <c r="C1267" s="9">
        <v>3</v>
      </c>
      <c r="D1267" s="36">
        <v>42317</v>
      </c>
      <c r="G1267" s="2">
        <v>3</v>
      </c>
      <c r="H1267" s="1">
        <v>42299</v>
      </c>
    </row>
    <row r="1268" spans="1:12" ht="15">
      <c r="A1268" s="35" t="s">
        <v>2997</v>
      </c>
      <c r="B1268" s="9" t="s">
        <v>2951</v>
      </c>
      <c r="C1268" s="9">
        <v>3</v>
      </c>
      <c r="D1268" s="36">
        <v>42317</v>
      </c>
      <c r="G1268" s="2">
        <v>3</v>
      </c>
      <c r="H1268" s="1">
        <v>42299</v>
      </c>
    </row>
    <row r="1269" spans="1:12" ht="15">
      <c r="A1269" s="35" t="s">
        <v>2987</v>
      </c>
      <c r="B1269" s="9" t="s">
        <v>2970</v>
      </c>
      <c r="C1269" s="9">
        <v>3</v>
      </c>
      <c r="D1269" s="36">
        <v>42317</v>
      </c>
      <c r="G1269" s="2">
        <v>3</v>
      </c>
      <c r="H1269" s="1">
        <v>42299</v>
      </c>
    </row>
    <row r="1270" spans="1:12" s="15" customFormat="1" ht="15">
      <c r="A1270" s="11" t="s">
        <v>2641</v>
      </c>
      <c r="B1270" s="11" t="s">
        <v>2642</v>
      </c>
      <c r="C1270" s="11">
        <v>3</v>
      </c>
      <c r="G1270" s="11">
        <v>3</v>
      </c>
      <c r="H1270" s="11"/>
      <c r="I1270" s="3" t="s">
        <v>2972</v>
      </c>
      <c r="J1270" s="4" t="s">
        <v>2973</v>
      </c>
      <c r="K1270" s="2">
        <v>3</v>
      </c>
      <c r="L1270" s="1">
        <v>42299</v>
      </c>
    </row>
    <row r="1271" spans="1:12" s="15" customFormat="1" ht="15">
      <c r="A1271" s="11" t="s">
        <v>2643</v>
      </c>
      <c r="B1271" s="11" t="s">
        <v>2644</v>
      </c>
      <c r="C1271" s="11">
        <v>3</v>
      </c>
      <c r="G1271" s="11">
        <v>3</v>
      </c>
      <c r="H1271" s="11"/>
      <c r="I1271" s="3" t="s">
        <v>2974</v>
      </c>
      <c r="J1271" s="4" t="s">
        <v>2957</v>
      </c>
      <c r="K1271" s="2">
        <v>3</v>
      </c>
      <c r="L1271" s="1">
        <v>42299</v>
      </c>
    </row>
    <row r="1272" spans="1:12" s="15" customFormat="1" ht="15">
      <c r="A1272" s="11" t="s">
        <v>2645</v>
      </c>
      <c r="B1272" s="11" t="s">
        <v>2646</v>
      </c>
      <c r="C1272" s="11">
        <v>3</v>
      </c>
      <c r="G1272" s="11">
        <v>3</v>
      </c>
      <c r="H1272" s="11"/>
      <c r="I1272" s="3" t="s">
        <v>2975</v>
      </c>
      <c r="J1272" s="4" t="s">
        <v>2958</v>
      </c>
      <c r="K1272" s="2">
        <v>3</v>
      </c>
      <c r="L1272" s="1">
        <v>42299</v>
      </c>
    </row>
    <row r="1273" spans="1:12" s="15" customFormat="1">
      <c r="A1273" s="11" t="s">
        <v>2647</v>
      </c>
      <c r="B1273" s="11" t="s">
        <v>2648</v>
      </c>
      <c r="C1273" s="11">
        <v>3</v>
      </c>
      <c r="G1273" s="11">
        <v>3</v>
      </c>
      <c r="H1273" s="11"/>
    </row>
    <row r="1274" spans="1:12">
      <c r="A1274" s="11" t="s">
        <v>2649</v>
      </c>
      <c r="B1274" s="11" t="s">
        <v>2650</v>
      </c>
      <c r="C1274" s="11">
        <v>3</v>
      </c>
      <c r="G1274" s="11">
        <v>3</v>
      </c>
    </row>
    <row r="1275" spans="1:12">
      <c r="A1275" s="11" t="s">
        <v>2651</v>
      </c>
      <c r="B1275" s="11" t="s">
        <v>2652</v>
      </c>
      <c r="C1275" s="11">
        <v>3</v>
      </c>
    </row>
    <row r="1276" spans="1:12">
      <c r="A1276" s="11" t="s">
        <v>2653</v>
      </c>
      <c r="B1276" s="11" t="s">
        <v>2654</v>
      </c>
      <c r="C1276" s="11">
        <v>3</v>
      </c>
    </row>
    <row r="1277" spans="1:12">
      <c r="A1277" s="11" t="s">
        <v>2655</v>
      </c>
      <c r="B1277" s="11" t="s">
        <v>2656</v>
      </c>
      <c r="C1277" s="11">
        <v>3</v>
      </c>
    </row>
    <row r="1278" spans="1:12">
      <c r="A1278" s="11" t="s">
        <v>2657</v>
      </c>
      <c r="B1278" s="11" t="s">
        <v>2658</v>
      </c>
      <c r="C1278" s="11">
        <v>3</v>
      </c>
    </row>
    <row r="1279" spans="1:12">
      <c r="A1279" s="11" t="s">
        <v>2659</v>
      </c>
      <c r="B1279" s="11" t="s">
        <v>2660</v>
      </c>
      <c r="C1279" s="11">
        <v>3</v>
      </c>
      <c r="E1279" s="15"/>
      <c r="F1279" s="15"/>
    </row>
    <row r="1280" spans="1:12">
      <c r="A1280" s="11" t="s">
        <v>2661</v>
      </c>
      <c r="B1280" s="11" t="s">
        <v>2662</v>
      </c>
      <c r="C1280" s="11">
        <v>3</v>
      </c>
      <c r="E1280" s="15"/>
      <c r="F1280" s="15"/>
    </row>
    <row r="1281" spans="1:6">
      <c r="A1281" s="11" t="s">
        <v>2663</v>
      </c>
      <c r="B1281" s="11" t="s">
        <v>2664</v>
      </c>
      <c r="C1281" s="11">
        <v>3</v>
      </c>
      <c r="E1281" s="15"/>
      <c r="F1281" s="15"/>
    </row>
    <row r="1282" spans="1:6">
      <c r="A1282" s="11" t="s">
        <v>2665</v>
      </c>
      <c r="B1282" s="11" t="s">
        <v>2666</v>
      </c>
      <c r="C1282" s="11">
        <v>3</v>
      </c>
      <c r="E1282" s="15"/>
      <c r="F1282" s="15"/>
    </row>
    <row r="1283" spans="1:6">
      <c r="A1283" s="11" t="s">
        <v>2667</v>
      </c>
      <c r="B1283" s="11" t="s">
        <v>2668</v>
      </c>
      <c r="C1283" s="11">
        <v>3</v>
      </c>
      <c r="E1283" s="15"/>
      <c r="F1283" s="15"/>
    </row>
    <row r="1284" spans="1:6">
      <c r="A1284" s="11" t="s">
        <v>2793</v>
      </c>
      <c r="B1284" s="11" t="s">
        <v>2669</v>
      </c>
      <c r="C1284" s="11">
        <v>3</v>
      </c>
    </row>
    <row r="1285" spans="1:6">
      <c r="A1285" s="11" t="s">
        <v>2670</v>
      </c>
      <c r="B1285" s="11" t="s">
        <v>2671</v>
      </c>
      <c r="C1285" s="11">
        <v>3</v>
      </c>
    </row>
    <row r="1286" spans="1:6">
      <c r="A1286" s="11" t="s">
        <v>2672</v>
      </c>
      <c r="B1286" s="11" t="s">
        <v>2673</v>
      </c>
      <c r="C1286" s="11">
        <v>3</v>
      </c>
    </row>
    <row r="1287" spans="1:6">
      <c r="A1287" s="11" t="s">
        <v>2674</v>
      </c>
      <c r="B1287" s="11" t="s">
        <v>2675</v>
      </c>
      <c r="C1287" s="11">
        <v>3</v>
      </c>
    </row>
    <row r="1288" spans="1:6">
      <c r="A1288" s="11" t="s">
        <v>2676</v>
      </c>
      <c r="B1288" s="11" t="s">
        <v>2677</v>
      </c>
      <c r="C1288" s="11">
        <v>3</v>
      </c>
    </row>
    <row r="1289" spans="1:6">
      <c r="A1289" s="11" t="s">
        <v>2678</v>
      </c>
      <c r="B1289" s="11" t="s">
        <v>2679</v>
      </c>
      <c r="C1289" s="11">
        <v>3</v>
      </c>
    </row>
    <row r="1290" spans="1:6">
      <c r="A1290" s="11" t="s">
        <v>2680</v>
      </c>
      <c r="B1290" s="11" t="s">
        <v>2681</v>
      </c>
      <c r="C1290" s="11">
        <v>3</v>
      </c>
    </row>
    <row r="1291" spans="1:6">
      <c r="A1291" s="11" t="s">
        <v>2682</v>
      </c>
      <c r="B1291" s="11" t="s">
        <v>2683</v>
      </c>
      <c r="C1291" s="11">
        <v>3</v>
      </c>
    </row>
    <row r="1292" spans="1:6">
      <c r="A1292" s="11" t="s">
        <v>2684</v>
      </c>
      <c r="B1292" s="11" t="s">
        <v>2685</v>
      </c>
      <c r="C1292" s="11">
        <v>3</v>
      </c>
    </row>
    <row r="1293" spans="1:6">
      <c r="A1293" s="11" t="s">
        <v>2686</v>
      </c>
      <c r="B1293" s="11" t="s">
        <v>2687</v>
      </c>
      <c r="C1293" s="11">
        <v>3</v>
      </c>
    </row>
    <row r="1294" spans="1:6">
      <c r="A1294" s="11" t="s">
        <v>2688</v>
      </c>
      <c r="B1294" s="11" t="s">
        <v>2689</v>
      </c>
      <c r="C1294" s="11">
        <v>3</v>
      </c>
    </row>
    <row r="1295" spans="1:6">
      <c r="A1295" s="11" t="s">
        <v>2690</v>
      </c>
      <c r="B1295" s="11" t="s">
        <v>2691</v>
      </c>
      <c r="C1295" s="11">
        <v>3</v>
      </c>
    </row>
    <row r="1296" spans="1:6">
      <c r="A1296" s="15" t="s">
        <v>2693</v>
      </c>
      <c r="B1296" s="15" t="s">
        <v>2844</v>
      </c>
      <c r="C1296" s="15">
        <v>2</v>
      </c>
    </row>
    <row r="1297" spans="1:3">
      <c r="A1297" s="11" t="s">
        <v>2694</v>
      </c>
      <c r="B1297" s="11" t="s">
        <v>2695</v>
      </c>
      <c r="C1297" s="11">
        <v>2</v>
      </c>
    </row>
    <row r="1298" spans="1:3">
      <c r="A1298" s="11" t="s">
        <v>2852</v>
      </c>
      <c r="B1298" s="11" t="s">
        <v>2696</v>
      </c>
      <c r="C1298" s="11">
        <v>2</v>
      </c>
    </row>
    <row r="1299" spans="1:3">
      <c r="A1299" s="11" t="s">
        <v>2853</v>
      </c>
      <c r="B1299" s="11" t="s">
        <v>2836</v>
      </c>
      <c r="C1299" s="11">
        <v>2</v>
      </c>
    </row>
    <row r="1300" spans="1:3">
      <c r="A1300" s="11" t="s">
        <v>2854</v>
      </c>
      <c r="B1300" s="11" t="s">
        <v>2837</v>
      </c>
      <c r="C1300" s="11">
        <v>2</v>
      </c>
    </row>
    <row r="1301" spans="1:3">
      <c r="A1301" s="11" t="s">
        <v>2855</v>
      </c>
      <c r="B1301" s="11" t="s">
        <v>2838</v>
      </c>
      <c r="C1301" s="11">
        <v>2</v>
      </c>
    </row>
    <row r="1302" spans="1:3">
      <c r="A1302" s="11" t="s">
        <v>2856</v>
      </c>
      <c r="B1302" s="11" t="s">
        <v>2839</v>
      </c>
      <c r="C1302" s="11">
        <v>2</v>
      </c>
    </row>
    <row r="1303" spans="1:3">
      <c r="A1303" s="11" t="s">
        <v>2857</v>
      </c>
      <c r="B1303" s="11" t="s">
        <v>2706</v>
      </c>
      <c r="C1303" s="11">
        <v>2</v>
      </c>
    </row>
    <row r="1304" spans="1:3">
      <c r="A1304" s="11" t="s">
        <v>2858</v>
      </c>
      <c r="B1304" s="11" t="s">
        <v>2708</v>
      </c>
      <c r="C1304" s="11">
        <v>2</v>
      </c>
    </row>
    <row r="1305" spans="1:3">
      <c r="A1305" s="11" t="s">
        <v>2859</v>
      </c>
      <c r="B1305" s="11" t="s">
        <v>2709</v>
      </c>
      <c r="C1305" s="11">
        <v>2</v>
      </c>
    </row>
    <row r="1306" spans="1:3">
      <c r="A1306" s="11" t="s">
        <v>2860</v>
      </c>
      <c r="B1306" s="11" t="s">
        <v>2710</v>
      </c>
      <c r="C1306" s="11">
        <v>2</v>
      </c>
    </row>
    <row r="1307" spans="1:3">
      <c r="A1307" s="11" t="s">
        <v>2861</v>
      </c>
      <c r="B1307" s="11" t="s">
        <v>2711</v>
      </c>
      <c r="C1307" s="11">
        <v>2</v>
      </c>
    </row>
    <row r="1308" spans="1:3">
      <c r="A1308" s="11" t="s">
        <v>2862</v>
      </c>
      <c r="B1308" s="11" t="s">
        <v>2712</v>
      </c>
      <c r="C1308" s="11">
        <v>2</v>
      </c>
    </row>
    <row r="1309" spans="1:3">
      <c r="A1309" s="11" t="s">
        <v>2863</v>
      </c>
      <c r="B1309" s="11" t="s">
        <v>2713</v>
      </c>
      <c r="C1309" s="11">
        <v>2</v>
      </c>
    </row>
    <row r="1310" spans="1:3">
      <c r="A1310" s="11" t="s">
        <v>2864</v>
      </c>
      <c r="B1310" s="11" t="s">
        <v>2714</v>
      </c>
      <c r="C1310" s="11">
        <v>2</v>
      </c>
    </row>
    <row r="1311" spans="1:3">
      <c r="A1311" s="11" t="s">
        <v>2865</v>
      </c>
      <c r="B1311" s="11" t="s">
        <v>2697</v>
      </c>
      <c r="C1311" s="11">
        <v>2</v>
      </c>
    </row>
    <row r="1312" spans="1:3">
      <c r="A1312" s="11" t="s">
        <v>2866</v>
      </c>
      <c r="B1312" s="11" t="s">
        <v>2698</v>
      </c>
      <c r="C1312" s="11">
        <v>2</v>
      </c>
    </row>
    <row r="1313" spans="1:3">
      <c r="A1313" s="11" t="s">
        <v>2867</v>
      </c>
      <c r="B1313" s="11" t="s">
        <v>2699</v>
      </c>
      <c r="C1313" s="11">
        <v>2</v>
      </c>
    </row>
    <row r="1314" spans="1:3">
      <c r="A1314" s="11" t="s">
        <v>2868</v>
      </c>
      <c r="B1314" s="11" t="s">
        <v>2700</v>
      </c>
      <c r="C1314" s="11">
        <v>2</v>
      </c>
    </row>
    <row r="1315" spans="1:3">
      <c r="A1315" s="11" t="s">
        <v>2869</v>
      </c>
      <c r="B1315" s="11" t="s">
        <v>2701</v>
      </c>
      <c r="C1315" s="11">
        <v>2</v>
      </c>
    </row>
    <row r="1316" spans="1:3">
      <c r="A1316" s="11" t="s">
        <v>2870</v>
      </c>
      <c r="B1316" s="11" t="s">
        <v>2840</v>
      </c>
      <c r="C1316" s="11">
        <v>2</v>
      </c>
    </row>
    <row r="1317" spans="1:3">
      <c r="A1317" s="11" t="s">
        <v>2871</v>
      </c>
      <c r="B1317" s="11" t="s">
        <v>2702</v>
      </c>
      <c r="C1317" s="11">
        <v>2</v>
      </c>
    </row>
    <row r="1318" spans="1:3">
      <c r="A1318" s="11" t="s">
        <v>2872</v>
      </c>
      <c r="B1318" s="11" t="s">
        <v>2703</v>
      </c>
      <c r="C1318" s="11">
        <v>2</v>
      </c>
    </row>
    <row r="1319" spans="1:3">
      <c r="A1319" s="11" t="s">
        <v>2873</v>
      </c>
      <c r="B1319" s="11" t="s">
        <v>2704</v>
      </c>
      <c r="C1319" s="11">
        <v>2</v>
      </c>
    </row>
    <row r="1320" spans="1:3">
      <c r="A1320" s="11" t="s">
        <v>2874</v>
      </c>
      <c r="B1320" s="11" t="s">
        <v>2705</v>
      </c>
      <c r="C1320" s="11">
        <v>2</v>
      </c>
    </row>
    <row r="1321" spans="1:3">
      <c r="A1321" s="11" t="s">
        <v>2875</v>
      </c>
      <c r="B1321" s="11" t="s">
        <v>2707</v>
      </c>
      <c r="C1321" s="11">
        <v>2</v>
      </c>
    </row>
    <row r="1322" spans="1:3">
      <c r="A1322" s="11" t="s">
        <v>2876</v>
      </c>
      <c r="B1322" s="11" t="s">
        <v>2841</v>
      </c>
      <c r="C1322" s="11">
        <v>2</v>
      </c>
    </row>
    <row r="1323" spans="1:3">
      <c r="A1323" s="15" t="s">
        <v>2845</v>
      </c>
      <c r="B1323" s="15" t="s">
        <v>2847</v>
      </c>
      <c r="C1323" s="15">
        <v>5</v>
      </c>
    </row>
    <row r="1324" spans="1:3">
      <c r="A1324" s="15" t="s">
        <v>2845</v>
      </c>
      <c r="B1324" s="15" t="s">
        <v>2847</v>
      </c>
      <c r="C1324" s="15">
        <v>5</v>
      </c>
    </row>
    <row r="1325" spans="1:3">
      <c r="A1325" s="15" t="s">
        <v>2846</v>
      </c>
      <c r="B1325" s="15" t="s">
        <v>2692</v>
      </c>
      <c r="C1325" s="15">
        <v>3</v>
      </c>
    </row>
    <row r="1326" spans="1:3">
      <c r="A1326" s="15" t="str">
        <f>"11.2"</f>
        <v>11.2</v>
      </c>
      <c r="B1326" s="15" t="s">
        <v>2582</v>
      </c>
      <c r="C1326" s="14">
        <v>5</v>
      </c>
    </row>
    <row r="1327" spans="1:3">
      <c r="A1327" s="15" t="s">
        <v>2567</v>
      </c>
      <c r="B1327" s="15" t="s">
        <v>2583</v>
      </c>
      <c r="C1327" s="14">
        <v>5</v>
      </c>
    </row>
    <row r="1328" spans="1:3">
      <c r="A1328" s="15" t="s">
        <v>1616</v>
      </c>
      <c r="B1328" s="15" t="s">
        <v>1617</v>
      </c>
      <c r="C1328" s="14">
        <v>5</v>
      </c>
    </row>
    <row r="1329" spans="1:3">
      <c r="A1329" s="15" t="s">
        <v>1618</v>
      </c>
      <c r="B1329" s="15" t="s">
        <v>1619</v>
      </c>
      <c r="C1329" s="14">
        <v>5</v>
      </c>
    </row>
    <row r="1330" spans="1:3">
      <c r="A1330" s="15" t="s">
        <v>2623</v>
      </c>
      <c r="B1330" s="15" t="s">
        <v>1615</v>
      </c>
      <c r="C1330" s="14">
        <v>5</v>
      </c>
    </row>
    <row r="1331" spans="1:3">
      <c r="A1331" s="15" t="s">
        <v>2566</v>
      </c>
      <c r="B1331" s="15" t="s">
        <v>2584</v>
      </c>
      <c r="C1331" s="14">
        <v>5</v>
      </c>
    </row>
    <row r="1332" spans="1:3">
      <c r="A1332" s="15" t="s">
        <v>1620</v>
      </c>
      <c r="B1332" s="15" t="s">
        <v>1621</v>
      </c>
      <c r="C1332" s="14">
        <v>5</v>
      </c>
    </row>
    <row r="1333" spans="1:3">
      <c r="A1333" s="15" t="s">
        <v>1622</v>
      </c>
      <c r="B1333" s="15" t="s">
        <v>2624</v>
      </c>
      <c r="C1333" s="14">
        <v>5</v>
      </c>
    </row>
    <row r="1334" spans="1:3">
      <c r="A1334" s="15" t="s">
        <v>1623</v>
      </c>
      <c r="B1334" s="15" t="s">
        <v>1624</v>
      </c>
      <c r="C1334" s="14">
        <v>5</v>
      </c>
    </row>
    <row r="1335" spans="1:3">
      <c r="A1335" s="15" t="s">
        <v>2565</v>
      </c>
      <c r="B1335" s="15" t="s">
        <v>2564</v>
      </c>
      <c r="C1335" s="14">
        <v>5</v>
      </c>
    </row>
    <row r="1336" spans="1:3">
      <c r="A1336" s="15" t="s">
        <v>1625</v>
      </c>
      <c r="B1336" s="15" t="s">
        <v>1626</v>
      </c>
      <c r="C1336" s="14">
        <v>5</v>
      </c>
    </row>
    <row r="1337" spans="1:3">
      <c r="A1337" s="15" t="s">
        <v>1627</v>
      </c>
      <c r="B1337" s="15" t="s">
        <v>1628</v>
      </c>
      <c r="C1337" s="14">
        <v>5</v>
      </c>
    </row>
    <row r="1338" spans="1:3">
      <c r="A1338" s="15" t="s">
        <v>2563</v>
      </c>
      <c r="B1338" s="15" t="s">
        <v>2562</v>
      </c>
      <c r="C1338" s="14">
        <v>5</v>
      </c>
    </row>
    <row r="1339" spans="1:3">
      <c r="A1339" s="15" t="s">
        <v>1629</v>
      </c>
      <c r="B1339" s="15" t="s">
        <v>1630</v>
      </c>
      <c r="C1339" s="21">
        <v>5</v>
      </c>
    </row>
    <row r="1340" spans="1:3">
      <c r="A1340" s="15" t="s">
        <v>1631</v>
      </c>
      <c r="B1340" s="15" t="s">
        <v>1632</v>
      </c>
      <c r="C1340" s="21">
        <v>5</v>
      </c>
    </row>
    <row r="1341" spans="1:3">
      <c r="A1341" s="15" t="s">
        <v>2625</v>
      </c>
      <c r="B1341" s="15" t="s">
        <v>2848</v>
      </c>
      <c r="C1341" s="21">
        <v>5</v>
      </c>
    </row>
    <row r="1342" spans="1:3">
      <c r="A1342" s="15" t="s">
        <v>1633</v>
      </c>
      <c r="B1342" s="15" t="s">
        <v>1635</v>
      </c>
      <c r="C1342" s="21">
        <v>5</v>
      </c>
    </row>
    <row r="1343" spans="1:3">
      <c r="A1343" s="15" t="s">
        <v>1634</v>
      </c>
      <c r="B1343" s="15" t="s">
        <v>2851</v>
      </c>
      <c r="C1343" s="21">
        <v>5</v>
      </c>
    </row>
    <row r="1344" spans="1:3">
      <c r="A1344" s="15" t="s">
        <v>2849</v>
      </c>
      <c r="B1344" s="15" t="s">
        <v>2850</v>
      </c>
      <c r="C1344" s="21">
        <v>5</v>
      </c>
    </row>
    <row r="1345" spans="1:6">
      <c r="A1345" s="15" t="str">
        <f>"12"</f>
        <v>12</v>
      </c>
      <c r="B1345" s="15" t="s">
        <v>2475</v>
      </c>
      <c r="C1345" s="21">
        <v>5</v>
      </c>
    </row>
    <row r="1346" spans="1:6">
      <c r="A1346" s="15" t="str">
        <f>"12.1"</f>
        <v>12.1</v>
      </c>
      <c r="B1346" s="15" t="s">
        <v>2476</v>
      </c>
      <c r="C1346" s="21">
        <v>5</v>
      </c>
    </row>
    <row r="1347" spans="1:6">
      <c r="A1347" s="15" t="s">
        <v>2473</v>
      </c>
      <c r="B1347" s="15" t="s">
        <v>2477</v>
      </c>
      <c r="C1347" s="21">
        <v>5</v>
      </c>
    </row>
    <row r="1348" spans="1:6">
      <c r="A1348" s="15" t="s">
        <v>2474</v>
      </c>
      <c r="B1348" s="15" t="s">
        <v>2478</v>
      </c>
      <c r="C1348" s="21">
        <v>5</v>
      </c>
    </row>
    <row r="1349" spans="1:6">
      <c r="A1349" s="15" t="s">
        <v>1636</v>
      </c>
      <c r="B1349" s="15" t="s">
        <v>1637</v>
      </c>
      <c r="C1349" s="14">
        <v>5</v>
      </c>
    </row>
    <row r="1350" spans="1:6">
      <c r="A1350" s="15" t="s">
        <v>1638</v>
      </c>
      <c r="B1350" s="15" t="s">
        <v>1639</v>
      </c>
      <c r="C1350" s="14">
        <v>5</v>
      </c>
    </row>
    <row r="1351" spans="1:6">
      <c r="A1351" s="15" t="s">
        <v>1640</v>
      </c>
      <c r="B1351" s="15" t="s">
        <v>1641</v>
      </c>
      <c r="C1351" s="14">
        <v>5</v>
      </c>
    </row>
    <row r="1352" spans="1:6">
      <c r="A1352" s="15" t="s">
        <v>1642</v>
      </c>
      <c r="B1352" s="15" t="s">
        <v>1643</v>
      </c>
      <c r="C1352" s="14">
        <v>5</v>
      </c>
    </row>
    <row r="1353" spans="1:6">
      <c r="A1353" s="15" t="s">
        <v>2479</v>
      </c>
      <c r="B1353" s="15" t="s">
        <v>2480</v>
      </c>
      <c r="C1353" s="14">
        <v>5</v>
      </c>
    </row>
    <row r="1354" spans="1:6">
      <c r="A1354" s="15" t="s">
        <v>1644</v>
      </c>
      <c r="B1354" s="15" t="s">
        <v>1645</v>
      </c>
      <c r="C1354" s="14">
        <v>5</v>
      </c>
    </row>
    <row r="1355" spans="1:6">
      <c r="A1355" s="15" t="s">
        <v>1646</v>
      </c>
      <c r="B1355" s="15" t="s">
        <v>1647</v>
      </c>
      <c r="C1355" s="14">
        <v>5</v>
      </c>
    </row>
    <row r="1356" spans="1:6">
      <c r="A1356" s="15" t="s">
        <v>1648</v>
      </c>
      <c r="B1356" s="15" t="s">
        <v>1649</v>
      </c>
      <c r="C1356" s="14">
        <v>5</v>
      </c>
    </row>
    <row r="1357" spans="1:6">
      <c r="A1357" s="15" t="s">
        <v>1650</v>
      </c>
      <c r="B1357" s="15" t="s">
        <v>1651</v>
      </c>
      <c r="C1357" s="14">
        <v>5</v>
      </c>
    </row>
    <row r="1358" spans="1:6">
      <c r="A1358" s="4" t="s">
        <v>1652</v>
      </c>
      <c r="B1358" s="4" t="s">
        <v>2891</v>
      </c>
      <c r="C1358" s="17">
        <v>5</v>
      </c>
      <c r="D1358" s="18">
        <v>42292</v>
      </c>
      <c r="E1358" s="15" t="s">
        <v>2900</v>
      </c>
    </row>
    <row r="1359" spans="1:6">
      <c r="A1359" s="4" t="s">
        <v>2890</v>
      </c>
      <c r="B1359" s="4" t="s">
        <v>1653</v>
      </c>
      <c r="C1359" s="17">
        <v>5</v>
      </c>
      <c r="D1359" s="18">
        <v>42292</v>
      </c>
      <c r="E1359" s="31" t="s">
        <v>1652</v>
      </c>
      <c r="F1359" s="31" t="s">
        <v>1653</v>
      </c>
    </row>
    <row r="1360" spans="1:6">
      <c r="A1360" s="15" t="s">
        <v>2481</v>
      </c>
      <c r="B1360" s="15" t="s">
        <v>2482</v>
      </c>
      <c r="C1360" s="14">
        <v>5</v>
      </c>
    </row>
    <row r="1361" spans="1:3">
      <c r="A1361" s="15" t="s">
        <v>1654</v>
      </c>
      <c r="B1361" s="15" t="s">
        <v>1655</v>
      </c>
      <c r="C1361" s="14">
        <v>5</v>
      </c>
    </row>
    <row r="1362" spans="1:3">
      <c r="A1362" s="15" t="s">
        <v>1656</v>
      </c>
      <c r="B1362" s="15" t="s">
        <v>1657</v>
      </c>
      <c r="C1362" s="14">
        <v>5</v>
      </c>
    </row>
    <row r="1363" spans="1:3">
      <c r="A1363" s="15" t="s">
        <v>1658</v>
      </c>
      <c r="B1363" s="15" t="s">
        <v>1659</v>
      </c>
      <c r="C1363" s="14">
        <v>5</v>
      </c>
    </row>
    <row r="1364" spans="1:3">
      <c r="A1364" s="15" t="s">
        <v>1660</v>
      </c>
      <c r="B1364" s="15" t="s">
        <v>1661</v>
      </c>
      <c r="C1364" s="14">
        <v>5</v>
      </c>
    </row>
    <row r="1365" spans="1:3">
      <c r="A1365" s="15" t="s">
        <v>1662</v>
      </c>
      <c r="B1365" s="15" t="s">
        <v>1663</v>
      </c>
      <c r="C1365" s="14">
        <v>5</v>
      </c>
    </row>
    <row r="1366" spans="1:3">
      <c r="A1366" s="15" t="s">
        <v>1664</v>
      </c>
      <c r="B1366" s="15" t="s">
        <v>1665</v>
      </c>
      <c r="C1366" s="14">
        <v>5</v>
      </c>
    </row>
    <row r="1367" spans="1:3">
      <c r="A1367" s="15" t="s">
        <v>2483</v>
      </c>
      <c r="B1367" s="15" t="s">
        <v>2485</v>
      </c>
      <c r="C1367" s="14">
        <v>5</v>
      </c>
    </row>
    <row r="1368" spans="1:3">
      <c r="A1368" s="15" t="s">
        <v>2484</v>
      </c>
      <c r="B1368" s="15" t="s">
        <v>2485</v>
      </c>
      <c r="C1368" s="14">
        <v>5</v>
      </c>
    </row>
    <row r="1369" spans="1:3">
      <c r="A1369" s="15" t="s">
        <v>1666</v>
      </c>
      <c r="B1369" s="15" t="s">
        <v>1667</v>
      </c>
      <c r="C1369" s="14">
        <v>5</v>
      </c>
    </row>
    <row r="1370" spans="1:3">
      <c r="A1370" s="15" t="s">
        <v>1668</v>
      </c>
      <c r="B1370" s="15" t="s">
        <v>1669</v>
      </c>
      <c r="C1370" s="14">
        <v>5</v>
      </c>
    </row>
    <row r="1371" spans="1:3">
      <c r="A1371" s="15" t="s">
        <v>1670</v>
      </c>
      <c r="B1371" s="15" t="s">
        <v>1671</v>
      </c>
      <c r="C1371" s="14">
        <v>5</v>
      </c>
    </row>
    <row r="1372" spans="1:3">
      <c r="A1372" s="15" t="s">
        <v>1672</v>
      </c>
      <c r="B1372" s="15" t="s">
        <v>1673</v>
      </c>
      <c r="C1372" s="14">
        <v>5</v>
      </c>
    </row>
    <row r="1373" spans="1:3">
      <c r="A1373" s="15" t="s">
        <v>2486</v>
      </c>
      <c r="B1373" s="15" t="s">
        <v>2488</v>
      </c>
      <c r="C1373" s="14">
        <v>5</v>
      </c>
    </row>
    <row r="1374" spans="1:3">
      <c r="A1374" s="15" t="s">
        <v>2487</v>
      </c>
      <c r="B1374" s="15" t="s">
        <v>2489</v>
      </c>
      <c r="C1374" s="14">
        <v>5</v>
      </c>
    </row>
    <row r="1375" spans="1:3">
      <c r="A1375" s="15" t="s">
        <v>1674</v>
      </c>
      <c r="B1375" s="15" t="s">
        <v>1675</v>
      </c>
      <c r="C1375" s="14">
        <v>5</v>
      </c>
    </row>
    <row r="1376" spans="1:3">
      <c r="A1376" s="15" t="s">
        <v>1676</v>
      </c>
      <c r="B1376" s="15" t="s">
        <v>1677</v>
      </c>
      <c r="C1376" s="14">
        <v>5</v>
      </c>
    </row>
    <row r="1377" spans="1:3">
      <c r="A1377" s="15" t="s">
        <v>1678</v>
      </c>
      <c r="B1377" s="15" t="s">
        <v>2878</v>
      </c>
      <c r="C1377" s="14">
        <v>5</v>
      </c>
    </row>
    <row r="1378" spans="1:3">
      <c r="A1378" s="15" t="s">
        <v>2490</v>
      </c>
      <c r="B1378" s="15" t="s">
        <v>2492</v>
      </c>
      <c r="C1378" s="14">
        <v>5</v>
      </c>
    </row>
    <row r="1379" spans="1:3">
      <c r="A1379" s="15" t="s">
        <v>2491</v>
      </c>
      <c r="B1379" s="15" t="s">
        <v>2585</v>
      </c>
      <c r="C1379" s="14">
        <v>5</v>
      </c>
    </row>
    <row r="1380" spans="1:3">
      <c r="A1380" s="15" t="s">
        <v>1679</v>
      </c>
      <c r="B1380" s="15" t="s">
        <v>1680</v>
      </c>
      <c r="C1380" s="14">
        <v>5</v>
      </c>
    </row>
    <row r="1381" spans="1:3">
      <c r="A1381" s="15" t="s">
        <v>1681</v>
      </c>
      <c r="B1381" s="15" t="s">
        <v>1682</v>
      </c>
      <c r="C1381" s="14">
        <v>5</v>
      </c>
    </row>
    <row r="1382" spans="1:3">
      <c r="A1382" s="15" t="s">
        <v>1683</v>
      </c>
      <c r="B1382" s="15" t="s">
        <v>1684</v>
      </c>
      <c r="C1382" s="14">
        <v>5</v>
      </c>
    </row>
    <row r="1383" spans="1:3">
      <c r="A1383" s="15" t="s">
        <v>1685</v>
      </c>
      <c r="B1383" s="15" t="s">
        <v>1686</v>
      </c>
      <c r="C1383" s="14">
        <v>5</v>
      </c>
    </row>
    <row r="1384" spans="1:3">
      <c r="A1384" s="15" t="s">
        <v>1687</v>
      </c>
      <c r="B1384" s="15" t="s">
        <v>1688</v>
      </c>
      <c r="C1384" s="14">
        <v>5</v>
      </c>
    </row>
    <row r="1385" spans="1:3">
      <c r="A1385" s="15" t="s">
        <v>1689</v>
      </c>
      <c r="B1385" s="15" t="s">
        <v>1690</v>
      </c>
      <c r="C1385" s="14">
        <v>5</v>
      </c>
    </row>
    <row r="1386" spans="1:3">
      <c r="A1386" s="15" t="s">
        <v>1691</v>
      </c>
      <c r="B1386" s="15" t="s">
        <v>1692</v>
      </c>
      <c r="C1386" s="14">
        <v>5</v>
      </c>
    </row>
    <row r="1387" spans="1:3">
      <c r="A1387" s="15" t="s">
        <v>2493</v>
      </c>
      <c r="B1387" s="15" t="s">
        <v>2586</v>
      </c>
      <c r="C1387" s="14">
        <v>5</v>
      </c>
    </row>
    <row r="1388" spans="1:3">
      <c r="A1388" s="15" t="s">
        <v>1693</v>
      </c>
      <c r="B1388" s="15" t="s">
        <v>1694</v>
      </c>
      <c r="C1388" s="14">
        <v>5</v>
      </c>
    </row>
    <row r="1389" spans="1:3">
      <c r="A1389" s="15" t="s">
        <v>1695</v>
      </c>
      <c r="B1389" s="15" t="s">
        <v>1696</v>
      </c>
      <c r="C1389" s="14">
        <v>5</v>
      </c>
    </row>
    <row r="1390" spans="1:3">
      <c r="A1390" s="15" t="s">
        <v>1697</v>
      </c>
      <c r="B1390" s="15" t="s">
        <v>1698</v>
      </c>
      <c r="C1390" s="14">
        <v>5</v>
      </c>
    </row>
    <row r="1391" spans="1:3">
      <c r="A1391" s="15" t="s">
        <v>1699</v>
      </c>
      <c r="B1391" s="15" t="s">
        <v>1700</v>
      </c>
      <c r="C1391" s="14">
        <v>5</v>
      </c>
    </row>
    <row r="1392" spans="1:3">
      <c r="A1392" s="15" t="s">
        <v>1701</v>
      </c>
      <c r="B1392" s="15" t="s">
        <v>1702</v>
      </c>
      <c r="C1392" s="14">
        <v>5</v>
      </c>
    </row>
    <row r="1393" spans="1:3">
      <c r="A1393" s="15" t="s">
        <v>2494</v>
      </c>
      <c r="B1393" s="15" t="s">
        <v>2587</v>
      </c>
      <c r="C1393" s="14">
        <v>5</v>
      </c>
    </row>
    <row r="1394" spans="1:3">
      <c r="A1394" s="15" t="s">
        <v>2795</v>
      </c>
      <c r="B1394" s="15" t="s">
        <v>1703</v>
      </c>
      <c r="C1394" s="14">
        <v>5</v>
      </c>
    </row>
    <row r="1395" spans="1:3">
      <c r="A1395" s="15" t="s">
        <v>2796</v>
      </c>
      <c r="B1395" s="15" t="s">
        <v>1712</v>
      </c>
      <c r="C1395" s="14">
        <v>5</v>
      </c>
    </row>
    <row r="1396" spans="1:3">
      <c r="A1396" s="15" t="s">
        <v>2797</v>
      </c>
      <c r="B1396" s="15" t="s">
        <v>1713</v>
      </c>
      <c r="C1396" s="14">
        <v>5</v>
      </c>
    </row>
    <row r="1397" spans="1:3">
      <c r="A1397" s="15" t="s">
        <v>2798</v>
      </c>
      <c r="B1397" s="15" t="s">
        <v>1714</v>
      </c>
      <c r="C1397" s="14">
        <v>5</v>
      </c>
    </row>
    <row r="1398" spans="1:3">
      <c r="A1398" s="15" t="s">
        <v>2799</v>
      </c>
      <c r="B1398" s="15" t="s">
        <v>1715</v>
      </c>
      <c r="C1398" s="14">
        <v>5</v>
      </c>
    </row>
    <row r="1399" spans="1:3">
      <c r="A1399" s="15" t="s">
        <v>2800</v>
      </c>
      <c r="B1399" s="15" t="s">
        <v>1716</v>
      </c>
      <c r="C1399" s="14">
        <v>5</v>
      </c>
    </row>
    <row r="1400" spans="1:3">
      <c r="A1400" s="15" t="s">
        <v>2801</v>
      </c>
      <c r="B1400" s="15" t="s">
        <v>1717</v>
      </c>
      <c r="C1400" s="14">
        <v>5</v>
      </c>
    </row>
    <row r="1401" spans="1:3">
      <c r="A1401" s="15" t="s">
        <v>2802</v>
      </c>
      <c r="B1401" s="15" t="s">
        <v>1718</v>
      </c>
      <c r="C1401" s="14">
        <v>5</v>
      </c>
    </row>
    <row r="1402" spans="1:3">
      <c r="A1402" s="15" t="s">
        <v>2803</v>
      </c>
      <c r="B1402" s="15" t="s">
        <v>1719</v>
      </c>
      <c r="C1402" s="14">
        <v>5</v>
      </c>
    </row>
    <row r="1403" spans="1:3">
      <c r="A1403" s="15" t="s">
        <v>1704</v>
      </c>
      <c r="B1403" s="15" t="s">
        <v>1705</v>
      </c>
      <c r="C1403" s="14">
        <v>5</v>
      </c>
    </row>
    <row r="1404" spans="1:3">
      <c r="A1404" s="15" t="s">
        <v>1706</v>
      </c>
      <c r="B1404" s="15" t="s">
        <v>1707</v>
      </c>
      <c r="C1404" s="14">
        <v>5</v>
      </c>
    </row>
    <row r="1405" spans="1:3">
      <c r="A1405" s="15" t="s">
        <v>1708</v>
      </c>
      <c r="B1405" s="15" t="s">
        <v>1709</v>
      </c>
      <c r="C1405" s="14">
        <v>5</v>
      </c>
    </row>
    <row r="1406" spans="1:3">
      <c r="A1406" s="15" t="s">
        <v>1710</v>
      </c>
      <c r="B1406" s="15" t="s">
        <v>1711</v>
      </c>
      <c r="C1406" s="14">
        <v>5</v>
      </c>
    </row>
    <row r="1407" spans="1:3">
      <c r="A1407" s="15" t="s">
        <v>2495</v>
      </c>
      <c r="B1407" s="15" t="s">
        <v>2588</v>
      </c>
      <c r="C1407" s="14">
        <v>5</v>
      </c>
    </row>
    <row r="1408" spans="1:3">
      <c r="A1408" s="11" t="s">
        <v>2794</v>
      </c>
      <c r="B1408" s="11" t="s">
        <v>1720</v>
      </c>
      <c r="C1408" s="14">
        <v>5</v>
      </c>
    </row>
    <row r="1409" spans="1:4">
      <c r="A1409" s="11" t="s">
        <v>2804</v>
      </c>
      <c r="B1409" s="11" t="s">
        <v>1723</v>
      </c>
      <c r="C1409" s="14">
        <v>5</v>
      </c>
    </row>
    <row r="1410" spans="1:4">
      <c r="A1410" s="11" t="s">
        <v>2805</v>
      </c>
      <c r="B1410" s="11" t="s">
        <v>1724</v>
      </c>
      <c r="C1410" s="14">
        <v>5</v>
      </c>
    </row>
    <row r="1411" spans="1:4">
      <c r="A1411" s="11" t="s">
        <v>2806</v>
      </c>
      <c r="B1411" s="11" t="s">
        <v>1725</v>
      </c>
      <c r="C1411" s="14">
        <v>5</v>
      </c>
    </row>
    <row r="1412" spans="1:4">
      <c r="A1412" s="11" t="s">
        <v>2807</v>
      </c>
      <c r="B1412" s="11" t="s">
        <v>1726</v>
      </c>
      <c r="C1412" s="14">
        <v>5</v>
      </c>
    </row>
    <row r="1413" spans="1:4">
      <c r="A1413" s="11" t="s">
        <v>2808</v>
      </c>
      <c r="B1413" s="11" t="s">
        <v>1727</v>
      </c>
      <c r="C1413" s="14">
        <v>5</v>
      </c>
    </row>
    <row r="1414" spans="1:4">
      <c r="A1414" s="11" t="s">
        <v>2809</v>
      </c>
      <c r="B1414" s="11" t="s">
        <v>1728</v>
      </c>
      <c r="C1414" s="14">
        <v>5</v>
      </c>
    </row>
    <row r="1415" spans="1:4">
      <c r="A1415" s="11" t="s">
        <v>2810</v>
      </c>
      <c r="B1415" s="11" t="s">
        <v>1729</v>
      </c>
      <c r="C1415" s="14">
        <v>5</v>
      </c>
    </row>
    <row r="1416" spans="1:4">
      <c r="A1416" s="11" t="s">
        <v>2811</v>
      </c>
      <c r="B1416" s="11" t="s">
        <v>1730</v>
      </c>
      <c r="C1416" s="14">
        <v>5</v>
      </c>
    </row>
    <row r="1417" spans="1:4">
      <c r="A1417" s="11" t="s">
        <v>1721</v>
      </c>
      <c r="B1417" s="11" t="s">
        <v>1722</v>
      </c>
      <c r="C1417" s="14">
        <v>5</v>
      </c>
    </row>
    <row r="1418" spans="1:4">
      <c r="A1418" s="11" t="str">
        <f>"12.2"</f>
        <v>12.2</v>
      </c>
      <c r="B1418" s="11" t="s">
        <v>1732</v>
      </c>
      <c r="C1418" s="14">
        <v>5</v>
      </c>
    </row>
    <row r="1419" spans="1:4">
      <c r="A1419" s="11" t="s">
        <v>1731</v>
      </c>
      <c r="B1419" s="11" t="s">
        <v>1732</v>
      </c>
      <c r="C1419" s="14">
        <v>5</v>
      </c>
    </row>
    <row r="1420" spans="1:4">
      <c r="A1420" s="11" t="str">
        <f>"12.3"</f>
        <v>12.3</v>
      </c>
      <c r="B1420" s="11" t="s">
        <v>2496</v>
      </c>
      <c r="C1420" s="14">
        <v>5</v>
      </c>
    </row>
    <row r="1421" spans="1:4">
      <c r="A1421" s="11" t="s">
        <v>2497</v>
      </c>
      <c r="B1421" s="11" t="s">
        <v>2498</v>
      </c>
      <c r="C1421" s="14">
        <v>5</v>
      </c>
    </row>
    <row r="1422" spans="1:4">
      <c r="A1422" s="11" t="s">
        <v>1733</v>
      </c>
      <c r="B1422" s="11" t="s">
        <v>1734</v>
      </c>
      <c r="C1422" s="14">
        <v>5</v>
      </c>
    </row>
    <row r="1423" spans="1:4">
      <c r="A1423" s="11" t="s">
        <v>2499</v>
      </c>
      <c r="B1423" s="11" t="s">
        <v>2500</v>
      </c>
      <c r="C1423" s="14">
        <v>5</v>
      </c>
    </row>
    <row r="1424" spans="1:4">
      <c r="A1424" s="11" t="s">
        <v>1735</v>
      </c>
      <c r="B1424" s="11" t="s">
        <v>1736</v>
      </c>
      <c r="C1424" s="14">
        <v>5</v>
      </c>
      <c r="D1424" s="15"/>
    </row>
    <row r="1425" spans="1:6">
      <c r="A1425" s="11" t="s">
        <v>1737</v>
      </c>
      <c r="B1425" s="11" t="s">
        <v>1738</v>
      </c>
      <c r="C1425" s="14">
        <v>5</v>
      </c>
      <c r="D1425" s="15"/>
    </row>
    <row r="1426" spans="1:6">
      <c r="A1426" s="11" t="s">
        <v>1739</v>
      </c>
      <c r="B1426" s="11" t="s">
        <v>1740</v>
      </c>
      <c r="C1426" s="14">
        <v>5</v>
      </c>
      <c r="D1426" s="15"/>
      <c r="E1426" s="15"/>
      <c r="F1426" s="15"/>
    </row>
    <row r="1427" spans="1:6">
      <c r="A1427" s="11" t="s">
        <v>2501</v>
      </c>
      <c r="B1427" s="11" t="s">
        <v>2503</v>
      </c>
      <c r="C1427" s="14">
        <v>5</v>
      </c>
      <c r="D1427" s="15"/>
      <c r="E1427" s="15"/>
      <c r="F1427" s="15"/>
    </row>
    <row r="1428" spans="1:6">
      <c r="A1428" s="11" t="s">
        <v>2502</v>
      </c>
      <c r="B1428" s="11" t="s">
        <v>2504</v>
      </c>
      <c r="C1428" s="14">
        <v>5</v>
      </c>
    </row>
    <row r="1429" spans="1:6">
      <c r="A1429" s="11" t="s">
        <v>1741</v>
      </c>
      <c r="B1429" s="11" t="s">
        <v>1742</v>
      </c>
      <c r="C1429" s="14">
        <v>5</v>
      </c>
    </row>
    <row r="1430" spans="1:6">
      <c r="A1430" s="11" t="s">
        <v>1743</v>
      </c>
      <c r="B1430" s="11" t="s">
        <v>1744</v>
      </c>
      <c r="C1430" s="14">
        <v>5</v>
      </c>
    </row>
    <row r="1431" spans="1:6">
      <c r="A1431" s="11" t="s">
        <v>1745</v>
      </c>
      <c r="B1431" s="11" t="s">
        <v>1746</v>
      </c>
      <c r="C1431" s="14">
        <v>5</v>
      </c>
    </row>
    <row r="1432" spans="1:6">
      <c r="A1432" s="11" t="s">
        <v>1747</v>
      </c>
      <c r="B1432" s="11" t="s">
        <v>1748</v>
      </c>
      <c r="C1432" s="14">
        <v>5</v>
      </c>
    </row>
    <row r="1433" spans="1:6">
      <c r="A1433" s="11" t="s">
        <v>2505</v>
      </c>
      <c r="B1433" s="11" t="s">
        <v>2506</v>
      </c>
      <c r="C1433" s="14">
        <v>5</v>
      </c>
    </row>
    <row r="1434" spans="1:6">
      <c r="A1434" s="11" t="s">
        <v>1749</v>
      </c>
      <c r="B1434" s="11" t="s">
        <v>1750</v>
      </c>
      <c r="C1434" s="14">
        <v>5</v>
      </c>
      <c r="D1434" s="15"/>
      <c r="E1434" s="15"/>
      <c r="F1434" s="15"/>
    </row>
    <row r="1435" spans="1:6">
      <c r="A1435" s="11" t="s">
        <v>1751</v>
      </c>
      <c r="B1435" s="11" t="s">
        <v>1752</v>
      </c>
      <c r="C1435" s="14">
        <v>5</v>
      </c>
      <c r="D1435" s="15"/>
      <c r="E1435" s="15"/>
      <c r="F1435" s="15"/>
    </row>
    <row r="1436" spans="1:6">
      <c r="A1436" s="11" t="s">
        <v>1753</v>
      </c>
      <c r="B1436" s="11" t="s">
        <v>1754</v>
      </c>
      <c r="C1436" s="14">
        <v>5</v>
      </c>
      <c r="D1436" s="15"/>
      <c r="E1436" s="15"/>
      <c r="F1436" s="15"/>
    </row>
    <row r="1437" spans="1:6">
      <c r="A1437" s="11" t="s">
        <v>1755</v>
      </c>
      <c r="B1437" s="11" t="s">
        <v>1756</v>
      </c>
      <c r="C1437" s="14">
        <v>5</v>
      </c>
      <c r="D1437" s="15"/>
      <c r="E1437" s="15"/>
      <c r="F1437" s="15"/>
    </row>
    <row r="1438" spans="1:6" s="15" customFormat="1">
      <c r="A1438" s="11" t="s">
        <v>2507</v>
      </c>
      <c r="B1438" s="11" t="s">
        <v>2508</v>
      </c>
      <c r="C1438" s="14">
        <v>5</v>
      </c>
    </row>
    <row r="1439" spans="1:6">
      <c r="A1439" s="11" t="s">
        <v>1757</v>
      </c>
      <c r="B1439" s="11" t="s">
        <v>1758</v>
      </c>
      <c r="C1439" s="14">
        <v>5</v>
      </c>
      <c r="D1439" s="15"/>
      <c r="E1439" s="15"/>
      <c r="F1439" s="15"/>
    </row>
    <row r="1440" spans="1:6">
      <c r="A1440" s="11" t="s">
        <v>1759</v>
      </c>
      <c r="B1440" s="11" t="s">
        <v>1760</v>
      </c>
      <c r="C1440" s="14">
        <v>5</v>
      </c>
      <c r="D1440" s="15"/>
      <c r="E1440" s="15"/>
      <c r="F1440" s="15"/>
    </row>
    <row r="1441" spans="1:6">
      <c r="A1441" s="11" t="s">
        <v>1761</v>
      </c>
      <c r="B1441" s="11" t="s">
        <v>1762</v>
      </c>
      <c r="C1441" s="14">
        <v>5</v>
      </c>
      <c r="D1441" s="15"/>
      <c r="E1441" s="15"/>
      <c r="F1441" s="15"/>
    </row>
    <row r="1442" spans="1:6">
      <c r="A1442" s="11" t="s">
        <v>1763</v>
      </c>
      <c r="B1442" s="11" t="s">
        <v>1764</v>
      </c>
      <c r="C1442" s="14">
        <v>5</v>
      </c>
    </row>
    <row r="1443" spans="1:6">
      <c r="A1443" s="11" t="s">
        <v>1765</v>
      </c>
      <c r="B1443" s="11" t="s">
        <v>1766</v>
      </c>
      <c r="C1443" s="14">
        <v>5</v>
      </c>
    </row>
    <row r="1444" spans="1:6">
      <c r="A1444" s="11" t="s">
        <v>1767</v>
      </c>
      <c r="B1444" s="11" t="s">
        <v>1768</v>
      </c>
      <c r="C1444" s="14">
        <v>5</v>
      </c>
    </row>
    <row r="1445" spans="1:6">
      <c r="A1445" s="11" t="s">
        <v>1769</v>
      </c>
      <c r="B1445" s="11" t="s">
        <v>1770</v>
      </c>
      <c r="C1445" s="14">
        <v>5</v>
      </c>
    </row>
    <row r="1446" spans="1:6">
      <c r="A1446" s="11" t="str">
        <f>"12.4"</f>
        <v>12.4</v>
      </c>
      <c r="B1446" s="11" t="s">
        <v>2509</v>
      </c>
      <c r="C1446" s="14">
        <v>5</v>
      </c>
    </row>
    <row r="1447" spans="1:6">
      <c r="A1447" s="11" t="s">
        <v>1771</v>
      </c>
      <c r="B1447" s="11" t="s">
        <v>1772</v>
      </c>
      <c r="C1447" s="14">
        <v>5</v>
      </c>
    </row>
    <row r="1448" spans="1:6">
      <c r="A1448" s="11" t="s">
        <v>1773</v>
      </c>
      <c r="B1448" s="11" t="s">
        <v>1774</v>
      </c>
      <c r="C1448" s="14">
        <v>5</v>
      </c>
    </row>
    <row r="1449" spans="1:6">
      <c r="A1449" s="11" t="s">
        <v>1775</v>
      </c>
      <c r="B1449" s="11" t="s">
        <v>1776</v>
      </c>
      <c r="C1449" s="14">
        <v>5</v>
      </c>
    </row>
    <row r="1450" spans="1:6">
      <c r="A1450" s="11" t="s">
        <v>1777</v>
      </c>
      <c r="B1450" s="11" t="s">
        <v>1778</v>
      </c>
      <c r="C1450" s="14">
        <v>5</v>
      </c>
    </row>
    <row r="1451" spans="1:6">
      <c r="A1451" s="11" t="str">
        <f>"12.5"</f>
        <v>12.5</v>
      </c>
      <c r="B1451" s="11" t="s">
        <v>2510</v>
      </c>
      <c r="C1451" s="14">
        <v>5</v>
      </c>
    </row>
    <row r="1452" spans="1:6">
      <c r="A1452" s="11" t="s">
        <v>2511</v>
      </c>
      <c r="B1452" s="11" t="s">
        <v>1780</v>
      </c>
      <c r="C1452" s="14">
        <v>5</v>
      </c>
    </row>
    <row r="1453" spans="1:6">
      <c r="A1453" s="11" t="s">
        <v>1779</v>
      </c>
      <c r="B1453" s="11" t="s">
        <v>1780</v>
      </c>
      <c r="C1453" s="14">
        <v>5</v>
      </c>
    </row>
    <row r="1454" spans="1:6">
      <c r="A1454" s="11" t="s">
        <v>2512</v>
      </c>
      <c r="B1454" s="11" t="s">
        <v>2513</v>
      </c>
      <c r="C1454" s="14">
        <v>5</v>
      </c>
    </row>
    <row r="1455" spans="1:6">
      <c r="A1455" s="11" t="s">
        <v>1781</v>
      </c>
      <c r="B1455" s="11" t="s">
        <v>1782</v>
      </c>
      <c r="C1455" s="14">
        <v>5</v>
      </c>
    </row>
    <row r="1456" spans="1:6">
      <c r="A1456" s="11" t="s">
        <v>1783</v>
      </c>
      <c r="B1456" s="11" t="s">
        <v>1784</v>
      </c>
      <c r="C1456" s="14">
        <v>5</v>
      </c>
    </row>
    <row r="1457" spans="1:6">
      <c r="A1457" s="11" t="s">
        <v>1785</v>
      </c>
      <c r="B1457" s="11" t="s">
        <v>1786</v>
      </c>
      <c r="C1457" s="14">
        <v>5</v>
      </c>
    </row>
    <row r="1458" spans="1:6">
      <c r="A1458" s="11" t="s">
        <v>2514</v>
      </c>
      <c r="B1458" s="11" t="s">
        <v>2515</v>
      </c>
      <c r="C1458" s="14">
        <v>5</v>
      </c>
    </row>
    <row r="1459" spans="1:6">
      <c r="A1459" s="11" t="s">
        <v>1787</v>
      </c>
      <c r="B1459" s="11" t="s">
        <v>1788</v>
      </c>
      <c r="C1459" s="14">
        <v>5</v>
      </c>
    </row>
    <row r="1460" spans="1:6">
      <c r="A1460" s="11" t="s">
        <v>2516</v>
      </c>
      <c r="B1460" s="11" t="s">
        <v>2517</v>
      </c>
      <c r="C1460" s="14">
        <v>5</v>
      </c>
    </row>
    <row r="1461" spans="1:6">
      <c r="A1461" s="11" t="s">
        <v>1789</v>
      </c>
      <c r="B1461" s="11" t="s">
        <v>1790</v>
      </c>
      <c r="C1461" s="14">
        <v>5</v>
      </c>
    </row>
    <row r="1462" spans="1:6">
      <c r="A1462" s="11" t="s">
        <v>1791</v>
      </c>
      <c r="B1462" s="11" t="s">
        <v>1792</v>
      </c>
      <c r="C1462" s="14">
        <v>5</v>
      </c>
    </row>
    <row r="1463" spans="1:6">
      <c r="A1463" s="11" t="s">
        <v>2518</v>
      </c>
      <c r="B1463" s="11" t="s">
        <v>2520</v>
      </c>
      <c r="C1463" s="14">
        <v>5</v>
      </c>
    </row>
    <row r="1464" spans="1:6">
      <c r="A1464" s="11" t="s">
        <v>2519</v>
      </c>
      <c r="B1464" s="11" t="s">
        <v>2521</v>
      </c>
      <c r="C1464" s="14">
        <v>5</v>
      </c>
    </row>
    <row r="1465" spans="1:6">
      <c r="A1465" s="11" t="s">
        <v>1793</v>
      </c>
      <c r="B1465" s="11" t="s">
        <v>1794</v>
      </c>
      <c r="C1465" s="14">
        <v>5</v>
      </c>
    </row>
    <row r="1466" spans="1:6">
      <c r="A1466" s="11" t="s">
        <v>1795</v>
      </c>
      <c r="B1466" s="11" t="s">
        <v>1796</v>
      </c>
      <c r="C1466" s="14">
        <v>5</v>
      </c>
    </row>
    <row r="1467" spans="1:6">
      <c r="A1467" s="11" t="s">
        <v>1797</v>
      </c>
      <c r="B1467" s="11" t="s">
        <v>1798</v>
      </c>
      <c r="C1467" s="14">
        <v>5</v>
      </c>
    </row>
    <row r="1468" spans="1:6">
      <c r="A1468" s="11" t="s">
        <v>2522</v>
      </c>
      <c r="B1468" s="11" t="s">
        <v>1799</v>
      </c>
      <c r="C1468" s="14">
        <v>5</v>
      </c>
    </row>
    <row r="1469" spans="1:6">
      <c r="A1469" s="4" t="s">
        <v>2882</v>
      </c>
      <c r="B1469" s="4" t="s">
        <v>2885</v>
      </c>
      <c r="C1469" s="17">
        <v>5</v>
      </c>
      <c r="D1469" s="18">
        <v>42292</v>
      </c>
      <c r="E1469" s="26" t="s">
        <v>2897</v>
      </c>
    </row>
    <row r="1470" spans="1:6">
      <c r="A1470" s="4" t="s">
        <v>2883</v>
      </c>
      <c r="B1470" s="4" t="s">
        <v>2884</v>
      </c>
      <c r="C1470" s="17">
        <v>5</v>
      </c>
      <c r="D1470" s="18">
        <v>42292</v>
      </c>
      <c r="E1470" s="19" t="s">
        <v>2901</v>
      </c>
      <c r="F1470" s="19" t="s">
        <v>1799</v>
      </c>
    </row>
    <row r="1471" spans="1:6">
      <c r="A1471" s="11" t="str">
        <f>"12.6"</f>
        <v>12.6</v>
      </c>
      <c r="B1471" s="11" t="s">
        <v>2523</v>
      </c>
      <c r="C1471" s="14">
        <v>5</v>
      </c>
      <c r="D1471" s="15"/>
      <c r="E1471" s="15"/>
      <c r="F1471" s="15"/>
    </row>
    <row r="1472" spans="1:6">
      <c r="A1472" s="11" t="s">
        <v>2524</v>
      </c>
      <c r="B1472" s="11" t="s">
        <v>2526</v>
      </c>
      <c r="C1472" s="14">
        <v>5</v>
      </c>
      <c r="D1472" s="15"/>
      <c r="E1472" s="15"/>
      <c r="F1472" s="15"/>
    </row>
    <row r="1473" spans="1:3">
      <c r="A1473" s="11" t="s">
        <v>2525</v>
      </c>
      <c r="B1473" s="11" t="s">
        <v>2527</v>
      </c>
      <c r="C1473" s="14">
        <v>5</v>
      </c>
    </row>
    <row r="1474" spans="1:3">
      <c r="A1474" s="11" t="s">
        <v>1800</v>
      </c>
      <c r="B1474" s="11" t="s">
        <v>1801</v>
      </c>
      <c r="C1474" s="14">
        <v>5</v>
      </c>
    </row>
    <row r="1475" spans="1:3">
      <c r="A1475" s="11" t="s">
        <v>1802</v>
      </c>
      <c r="B1475" s="11" t="s">
        <v>1803</v>
      </c>
      <c r="C1475" s="14">
        <v>5</v>
      </c>
    </row>
    <row r="1476" spans="1:3">
      <c r="A1476" s="11" t="s">
        <v>1804</v>
      </c>
      <c r="B1476" s="11" t="s">
        <v>1805</v>
      </c>
      <c r="C1476" s="14">
        <v>5</v>
      </c>
    </row>
    <row r="1477" spans="1:3">
      <c r="A1477" s="11" t="s">
        <v>1806</v>
      </c>
      <c r="B1477" s="11" t="s">
        <v>1807</v>
      </c>
      <c r="C1477" s="14">
        <v>5</v>
      </c>
    </row>
    <row r="1478" spans="1:3">
      <c r="A1478" s="11" t="s">
        <v>1808</v>
      </c>
      <c r="B1478" s="11" t="s">
        <v>1809</v>
      </c>
      <c r="C1478" s="14">
        <v>5</v>
      </c>
    </row>
    <row r="1479" spans="1:3">
      <c r="A1479" s="11" t="str">
        <f>"12.7"</f>
        <v>12.7</v>
      </c>
      <c r="B1479" s="11" t="s">
        <v>2528</v>
      </c>
      <c r="C1479" s="14">
        <v>5</v>
      </c>
    </row>
    <row r="1480" spans="1:3">
      <c r="A1480" s="11" t="s">
        <v>2529</v>
      </c>
      <c r="B1480" s="11" t="s">
        <v>2530</v>
      </c>
      <c r="C1480" s="14">
        <v>5</v>
      </c>
    </row>
    <row r="1481" spans="1:3">
      <c r="A1481" s="11" t="s">
        <v>1810</v>
      </c>
      <c r="B1481" s="11" t="s">
        <v>1811</v>
      </c>
      <c r="C1481" s="14">
        <v>5</v>
      </c>
    </row>
    <row r="1482" spans="1:3">
      <c r="A1482" s="11" t="s">
        <v>1812</v>
      </c>
      <c r="B1482" s="11" t="s">
        <v>1813</v>
      </c>
      <c r="C1482" s="14">
        <v>5</v>
      </c>
    </row>
    <row r="1483" spans="1:3">
      <c r="A1483" s="11" t="s">
        <v>1814</v>
      </c>
      <c r="B1483" s="11" t="s">
        <v>1815</v>
      </c>
      <c r="C1483" s="14">
        <v>5</v>
      </c>
    </row>
    <row r="1484" spans="1:3">
      <c r="A1484" s="11" t="s">
        <v>2531</v>
      </c>
      <c r="B1484" s="11" t="s">
        <v>2532</v>
      </c>
      <c r="C1484" s="14">
        <v>5</v>
      </c>
    </row>
    <row r="1485" spans="1:3">
      <c r="A1485" s="11" t="s">
        <v>1816</v>
      </c>
      <c r="B1485" s="11" t="s">
        <v>1817</v>
      </c>
      <c r="C1485" s="14">
        <v>5</v>
      </c>
    </row>
    <row r="1486" spans="1:3">
      <c r="A1486" s="11" t="s">
        <v>1818</v>
      </c>
      <c r="B1486" s="11" t="s">
        <v>1819</v>
      </c>
      <c r="C1486" s="14">
        <v>5</v>
      </c>
    </row>
    <row r="1487" spans="1:3">
      <c r="A1487" s="11" t="s">
        <v>1820</v>
      </c>
      <c r="B1487" s="11" t="s">
        <v>1821</v>
      </c>
      <c r="C1487" s="14">
        <v>5</v>
      </c>
    </row>
    <row r="1488" spans="1:3">
      <c r="A1488" s="11" t="s">
        <v>1822</v>
      </c>
      <c r="B1488" s="11" t="s">
        <v>1823</v>
      </c>
      <c r="C1488" s="14">
        <v>5</v>
      </c>
    </row>
    <row r="1489" spans="1:6">
      <c r="A1489" s="11" t="s">
        <v>2533</v>
      </c>
      <c r="B1489" s="11" t="s">
        <v>2534</v>
      </c>
      <c r="C1489" s="14">
        <v>5</v>
      </c>
    </row>
    <row r="1490" spans="1:6">
      <c r="A1490" s="11" t="s">
        <v>1824</v>
      </c>
      <c r="B1490" s="11" t="s">
        <v>1825</v>
      </c>
      <c r="C1490" s="14">
        <v>5</v>
      </c>
    </row>
    <row r="1491" spans="1:6">
      <c r="A1491" s="11" t="s">
        <v>1826</v>
      </c>
      <c r="B1491" s="11" t="s">
        <v>1827</v>
      </c>
      <c r="C1491" s="14">
        <v>5</v>
      </c>
    </row>
    <row r="1492" spans="1:6">
      <c r="A1492" s="11" t="s">
        <v>1828</v>
      </c>
      <c r="B1492" s="11" t="s">
        <v>1829</v>
      </c>
      <c r="C1492" s="14">
        <v>5</v>
      </c>
    </row>
    <row r="1493" spans="1:6">
      <c r="A1493" s="4" t="s">
        <v>1830</v>
      </c>
      <c r="B1493" s="4" t="s">
        <v>2977</v>
      </c>
      <c r="C1493" s="17">
        <v>5</v>
      </c>
      <c r="D1493" s="18">
        <v>42292</v>
      </c>
      <c r="E1493" s="26" t="s">
        <v>2897</v>
      </c>
    </row>
    <row r="1494" spans="1:6">
      <c r="A1494" s="4" t="s">
        <v>2881</v>
      </c>
      <c r="B1494" s="4" t="s">
        <v>1831</v>
      </c>
      <c r="C1494" s="17">
        <v>5</v>
      </c>
      <c r="D1494" s="18">
        <v>42292</v>
      </c>
      <c r="E1494" s="19" t="s">
        <v>1830</v>
      </c>
      <c r="F1494" s="19" t="s">
        <v>1831</v>
      </c>
    </row>
    <row r="1495" spans="1:6">
      <c r="A1495" s="11" t="str">
        <f>"20"</f>
        <v>20</v>
      </c>
      <c r="B1495" s="11" t="s">
        <v>2626</v>
      </c>
      <c r="C1495" s="14">
        <v>5</v>
      </c>
    </row>
    <row r="1496" spans="1:6">
      <c r="A1496" s="11" t="str">
        <f>"20.1"</f>
        <v>20.1</v>
      </c>
      <c r="B1496" s="11" t="s">
        <v>2627</v>
      </c>
      <c r="C1496" s="14">
        <v>5</v>
      </c>
    </row>
    <row r="1497" spans="1:6">
      <c r="A1497" s="11" t="s">
        <v>2535</v>
      </c>
      <c r="B1497" s="11" t="s">
        <v>2550</v>
      </c>
      <c r="C1497" s="14">
        <v>5</v>
      </c>
    </row>
    <row r="1498" spans="1:6">
      <c r="A1498" s="11" t="s">
        <v>2536</v>
      </c>
      <c r="B1498" s="11" t="s">
        <v>2550</v>
      </c>
      <c r="C1498" s="14">
        <v>5</v>
      </c>
    </row>
    <row r="1499" spans="1:6">
      <c r="A1499" s="11" t="s">
        <v>1832</v>
      </c>
      <c r="B1499" s="11" t="s">
        <v>1833</v>
      </c>
      <c r="C1499" s="14">
        <v>5</v>
      </c>
    </row>
    <row r="1500" spans="1:6">
      <c r="A1500" s="15" t="s">
        <v>1834</v>
      </c>
      <c r="B1500" s="15" t="s">
        <v>1835</v>
      </c>
      <c r="C1500" s="21">
        <v>5</v>
      </c>
    </row>
    <row r="1501" spans="1:6">
      <c r="A1501" s="15" t="s">
        <v>1836</v>
      </c>
      <c r="B1501" s="15" t="s">
        <v>1837</v>
      </c>
      <c r="C1501" s="21">
        <v>5</v>
      </c>
    </row>
    <row r="1502" spans="1:6">
      <c r="A1502" s="15" t="s">
        <v>2537</v>
      </c>
      <c r="B1502" s="15" t="s">
        <v>2551</v>
      </c>
      <c r="C1502" s="21">
        <v>5</v>
      </c>
    </row>
    <row r="1503" spans="1:6">
      <c r="A1503" s="15" t="s">
        <v>1838</v>
      </c>
      <c r="B1503" s="15" t="s">
        <v>2551</v>
      </c>
      <c r="C1503" s="21">
        <v>5</v>
      </c>
    </row>
    <row r="1504" spans="1:6">
      <c r="A1504" s="15" t="s">
        <v>2538</v>
      </c>
      <c r="B1504" s="15" t="s">
        <v>2552</v>
      </c>
      <c r="C1504" s="21">
        <v>5</v>
      </c>
    </row>
    <row r="1505" spans="1:3">
      <c r="A1505" s="15" t="s">
        <v>1839</v>
      </c>
      <c r="B1505" s="15" t="s">
        <v>1840</v>
      </c>
      <c r="C1505" s="21">
        <v>5</v>
      </c>
    </row>
    <row r="1506" spans="1:3">
      <c r="A1506" s="15" t="s">
        <v>1841</v>
      </c>
      <c r="B1506" s="15" t="s">
        <v>1842</v>
      </c>
      <c r="C1506" s="21">
        <v>5</v>
      </c>
    </row>
    <row r="1507" spans="1:3">
      <c r="A1507" s="15" t="s">
        <v>1843</v>
      </c>
      <c r="B1507" s="15" t="s">
        <v>1844</v>
      </c>
      <c r="C1507" s="21">
        <v>5</v>
      </c>
    </row>
    <row r="1508" spans="1:3">
      <c r="A1508" s="15" t="s">
        <v>1845</v>
      </c>
      <c r="B1508" s="15" t="s">
        <v>1846</v>
      </c>
      <c r="C1508" s="21">
        <v>5</v>
      </c>
    </row>
    <row r="1509" spans="1:3">
      <c r="A1509" s="15" t="s">
        <v>1847</v>
      </c>
      <c r="B1509" s="15" t="s">
        <v>1848</v>
      </c>
      <c r="C1509" s="21">
        <v>5</v>
      </c>
    </row>
    <row r="1510" spans="1:3">
      <c r="A1510" s="15" t="s">
        <v>1849</v>
      </c>
      <c r="B1510" s="15" t="s">
        <v>1850</v>
      </c>
      <c r="C1510" s="21">
        <v>5</v>
      </c>
    </row>
    <row r="1511" spans="1:3">
      <c r="A1511" s="15" t="s">
        <v>2539</v>
      </c>
      <c r="B1511" s="15" t="s">
        <v>2553</v>
      </c>
      <c r="C1511" s="21">
        <v>5</v>
      </c>
    </row>
    <row r="1512" spans="1:3">
      <c r="A1512" s="15" t="s">
        <v>2540</v>
      </c>
      <c r="B1512" s="15" t="s">
        <v>2554</v>
      </c>
      <c r="C1512" s="21">
        <v>5</v>
      </c>
    </row>
    <row r="1513" spans="1:3">
      <c r="A1513" s="15" t="s">
        <v>1851</v>
      </c>
      <c r="B1513" s="15" t="s">
        <v>1852</v>
      </c>
      <c r="C1513" s="21">
        <v>5</v>
      </c>
    </row>
    <row r="1514" spans="1:3">
      <c r="A1514" s="15" t="s">
        <v>1853</v>
      </c>
      <c r="B1514" s="15" t="s">
        <v>2557</v>
      </c>
      <c r="C1514" s="21">
        <v>5</v>
      </c>
    </row>
    <row r="1515" spans="1:3">
      <c r="A1515" s="15" t="str">
        <f>"20.2"</f>
        <v>20.2</v>
      </c>
      <c r="B1515" s="34" t="s">
        <v>2555</v>
      </c>
      <c r="C1515" s="21">
        <v>5</v>
      </c>
    </row>
    <row r="1516" spans="1:3">
      <c r="A1516" s="15" t="s">
        <v>1854</v>
      </c>
      <c r="B1516" s="15" t="s">
        <v>1855</v>
      </c>
      <c r="C1516" s="21">
        <v>5</v>
      </c>
    </row>
    <row r="1517" spans="1:3">
      <c r="A1517" s="15" t="str">
        <f>"20.3"</f>
        <v>20.3</v>
      </c>
      <c r="B1517" s="34" t="s">
        <v>2556</v>
      </c>
      <c r="C1517" s="21">
        <v>5</v>
      </c>
    </row>
    <row r="1518" spans="1:3">
      <c r="A1518" s="15" t="s">
        <v>1856</v>
      </c>
      <c r="B1518" s="15" t="s">
        <v>1857</v>
      </c>
      <c r="C1518" s="21">
        <v>5</v>
      </c>
    </row>
    <row r="1519" spans="1:3">
      <c r="A1519" s="15" t="s">
        <v>1858</v>
      </c>
      <c r="B1519" s="15" t="s">
        <v>1859</v>
      </c>
      <c r="C1519" s="21">
        <v>5</v>
      </c>
    </row>
    <row r="1520" spans="1:3">
      <c r="A1520" s="15" t="s">
        <v>1860</v>
      </c>
      <c r="B1520" s="15" t="s">
        <v>1861</v>
      </c>
      <c r="C1520" s="21">
        <v>5</v>
      </c>
    </row>
    <row r="1521" spans="1:3">
      <c r="A1521" s="15" t="s">
        <v>1862</v>
      </c>
      <c r="B1521" s="15" t="s">
        <v>1863</v>
      </c>
      <c r="C1521" s="21">
        <v>5</v>
      </c>
    </row>
    <row r="1522" spans="1:3">
      <c r="A1522" s="15" t="s">
        <v>1864</v>
      </c>
      <c r="B1522" s="15" t="s">
        <v>1865</v>
      </c>
      <c r="C1522" s="21">
        <v>5</v>
      </c>
    </row>
    <row r="1523" spans="1:3">
      <c r="A1523" s="11" t="str">
        <f>"20.4"</f>
        <v>20.4</v>
      </c>
      <c r="B1523" s="11" t="s">
        <v>2558</v>
      </c>
      <c r="C1523" s="21">
        <v>5</v>
      </c>
    </row>
    <row r="1524" spans="1:3">
      <c r="A1524" s="11" t="s">
        <v>1866</v>
      </c>
      <c r="B1524" s="11" t="s">
        <v>1867</v>
      </c>
      <c r="C1524" s="14">
        <v>5</v>
      </c>
    </row>
    <row r="1525" spans="1:3">
      <c r="A1525" s="15" t="s">
        <v>1868</v>
      </c>
      <c r="B1525" s="15" t="s">
        <v>1869</v>
      </c>
      <c r="C1525" s="14">
        <v>5</v>
      </c>
    </row>
    <row r="1526" spans="1:3">
      <c r="A1526" s="15" t="str">
        <f>"20.5"</f>
        <v>20.5</v>
      </c>
      <c r="B1526" s="15" t="s">
        <v>2629</v>
      </c>
      <c r="C1526" s="21">
        <v>5</v>
      </c>
    </row>
    <row r="1527" spans="1:3">
      <c r="A1527" s="11" t="s">
        <v>2549</v>
      </c>
      <c r="B1527" s="11" t="s">
        <v>2628</v>
      </c>
      <c r="C1527" s="21">
        <v>5</v>
      </c>
    </row>
    <row r="1528" spans="1:3">
      <c r="A1528" s="11" t="s">
        <v>2548</v>
      </c>
      <c r="B1528" s="11" t="s">
        <v>2628</v>
      </c>
      <c r="C1528" s="14">
        <v>5</v>
      </c>
    </row>
    <row r="1529" spans="1:3">
      <c r="A1529" s="11" t="s">
        <v>1870</v>
      </c>
      <c r="B1529" s="11" t="s">
        <v>1871</v>
      </c>
      <c r="C1529" s="14">
        <v>5</v>
      </c>
    </row>
    <row r="1530" spans="1:3">
      <c r="A1530" s="11" t="s">
        <v>1872</v>
      </c>
      <c r="B1530" s="11" t="s">
        <v>1873</v>
      </c>
      <c r="C1530" s="21">
        <v>5</v>
      </c>
    </row>
    <row r="1531" spans="1:3">
      <c r="A1531" s="11" t="s">
        <v>1874</v>
      </c>
      <c r="B1531" s="11" t="s">
        <v>1875</v>
      </c>
      <c r="C1531" s="21">
        <v>5</v>
      </c>
    </row>
    <row r="1532" spans="1:3">
      <c r="A1532" s="11" t="s">
        <v>1876</v>
      </c>
      <c r="B1532" s="11" t="s">
        <v>1877</v>
      </c>
      <c r="C1532" s="14">
        <v>5</v>
      </c>
    </row>
    <row r="1533" spans="1:3">
      <c r="A1533" s="11" t="s">
        <v>1878</v>
      </c>
      <c r="B1533" s="11" t="s">
        <v>1879</v>
      </c>
      <c r="C1533" s="14">
        <v>5</v>
      </c>
    </row>
    <row r="1534" spans="1:3">
      <c r="A1534" s="11" t="s">
        <v>1880</v>
      </c>
      <c r="B1534" s="11" t="s">
        <v>1881</v>
      </c>
      <c r="C1534" s="21">
        <v>5</v>
      </c>
    </row>
    <row r="1535" spans="1:3">
      <c r="A1535" s="11" t="s">
        <v>2546</v>
      </c>
      <c r="B1535" s="11" t="s">
        <v>2559</v>
      </c>
      <c r="C1535" s="21">
        <v>5</v>
      </c>
    </row>
    <row r="1536" spans="1:3">
      <c r="A1536" s="11" t="s">
        <v>2547</v>
      </c>
      <c r="B1536" s="11" t="s">
        <v>2560</v>
      </c>
      <c r="C1536" s="14">
        <v>5</v>
      </c>
    </row>
    <row r="1537" spans="1:3">
      <c r="A1537" s="11" t="s">
        <v>1882</v>
      </c>
      <c r="B1537" s="11" t="s">
        <v>1883</v>
      </c>
      <c r="C1537" s="14">
        <v>5</v>
      </c>
    </row>
    <row r="1538" spans="1:3">
      <c r="A1538" s="11" t="s">
        <v>1884</v>
      </c>
      <c r="B1538" s="11" t="s">
        <v>1885</v>
      </c>
      <c r="C1538" s="21">
        <v>5</v>
      </c>
    </row>
    <row r="1539" spans="1:3">
      <c r="A1539" s="11" t="s">
        <v>1886</v>
      </c>
      <c r="B1539" s="11" t="s">
        <v>1887</v>
      </c>
      <c r="C1539" s="21">
        <v>5</v>
      </c>
    </row>
    <row r="1540" spans="1:3">
      <c r="A1540" s="11" t="s">
        <v>1888</v>
      </c>
      <c r="B1540" s="11" t="s">
        <v>1889</v>
      </c>
      <c r="C1540" s="14">
        <v>5</v>
      </c>
    </row>
    <row r="1541" spans="1:3">
      <c r="A1541" s="11" t="s">
        <v>1890</v>
      </c>
      <c r="B1541" s="11" t="s">
        <v>1891</v>
      </c>
      <c r="C1541" s="14">
        <v>5</v>
      </c>
    </row>
    <row r="1542" spans="1:3">
      <c r="A1542" s="11" t="s">
        <v>1892</v>
      </c>
      <c r="B1542" s="11" t="s">
        <v>1893</v>
      </c>
      <c r="C1542" s="21">
        <v>5</v>
      </c>
    </row>
    <row r="1543" spans="1:3">
      <c r="A1543" s="11" t="s">
        <v>2541</v>
      </c>
      <c r="B1543" s="11" t="s">
        <v>1895</v>
      </c>
      <c r="C1543" s="21">
        <v>5</v>
      </c>
    </row>
    <row r="1544" spans="1:3">
      <c r="A1544" s="11" t="s">
        <v>1894</v>
      </c>
      <c r="B1544" s="11" t="s">
        <v>1895</v>
      </c>
      <c r="C1544" s="14">
        <v>5</v>
      </c>
    </row>
    <row r="1545" spans="1:3">
      <c r="A1545" s="11" t="s">
        <v>1896</v>
      </c>
      <c r="B1545" s="11" t="s">
        <v>1897</v>
      </c>
      <c r="C1545" s="14">
        <v>5</v>
      </c>
    </row>
    <row r="1546" spans="1:3">
      <c r="A1546" s="11" t="s">
        <v>1898</v>
      </c>
      <c r="B1546" s="11" t="s">
        <v>1899</v>
      </c>
      <c r="C1546" s="21">
        <v>5</v>
      </c>
    </row>
    <row r="1547" spans="1:3">
      <c r="A1547" s="11" t="s">
        <v>1900</v>
      </c>
      <c r="B1547" s="11" t="s">
        <v>1901</v>
      </c>
      <c r="C1547" s="21">
        <v>5</v>
      </c>
    </row>
    <row r="1548" spans="1:3">
      <c r="A1548" s="11" t="s">
        <v>1902</v>
      </c>
      <c r="B1548" s="11" t="s">
        <v>1903</v>
      </c>
      <c r="C1548" s="14">
        <v>5</v>
      </c>
    </row>
    <row r="1549" spans="1:3">
      <c r="A1549" s="11" t="s">
        <v>2543</v>
      </c>
      <c r="B1549" s="11" t="s">
        <v>2561</v>
      </c>
      <c r="C1549" s="14">
        <v>5</v>
      </c>
    </row>
    <row r="1550" spans="1:3">
      <c r="A1550" s="11" t="s">
        <v>2542</v>
      </c>
      <c r="B1550" s="11" t="s">
        <v>2561</v>
      </c>
      <c r="C1550" s="21">
        <v>5</v>
      </c>
    </row>
    <row r="1551" spans="1:3">
      <c r="A1551" s="11" t="s">
        <v>1904</v>
      </c>
      <c r="B1551" s="11" t="s">
        <v>1905</v>
      </c>
      <c r="C1551" s="21">
        <v>5</v>
      </c>
    </row>
    <row r="1552" spans="1:3">
      <c r="A1552" s="11" t="s">
        <v>1906</v>
      </c>
      <c r="B1552" s="11" t="s">
        <v>1907</v>
      </c>
      <c r="C1552" s="14">
        <v>5</v>
      </c>
    </row>
    <row r="1553" spans="1:3">
      <c r="A1553" s="11" t="s">
        <v>1908</v>
      </c>
      <c r="B1553" s="11" t="s">
        <v>1909</v>
      </c>
      <c r="C1553" s="14">
        <v>5</v>
      </c>
    </row>
    <row r="1554" spans="1:3">
      <c r="A1554" s="11" t="s">
        <v>1910</v>
      </c>
      <c r="B1554" s="11" t="s">
        <v>1911</v>
      </c>
      <c r="C1554" s="14">
        <v>5</v>
      </c>
    </row>
    <row r="1555" spans="1:3">
      <c r="A1555" s="11" t="s">
        <v>1912</v>
      </c>
      <c r="B1555" s="11" t="s">
        <v>1913</v>
      </c>
      <c r="C1555" s="14">
        <v>5</v>
      </c>
    </row>
    <row r="1556" spans="1:3">
      <c r="A1556" s="11" t="s">
        <v>1914</v>
      </c>
      <c r="B1556" s="11" t="s">
        <v>1915</v>
      </c>
      <c r="C1556" s="14">
        <v>5</v>
      </c>
    </row>
    <row r="1557" spans="1:3">
      <c r="A1557" s="11" t="s">
        <v>2544</v>
      </c>
      <c r="B1557" s="11" t="s">
        <v>1917</v>
      </c>
      <c r="C1557" s="14">
        <v>5</v>
      </c>
    </row>
    <row r="1558" spans="1:3">
      <c r="A1558" s="11" t="s">
        <v>1916</v>
      </c>
      <c r="B1558" s="11" t="s">
        <v>1917</v>
      </c>
      <c r="C1558" s="14">
        <v>5</v>
      </c>
    </row>
    <row r="1559" spans="1:3">
      <c r="A1559" s="11" t="s">
        <v>2545</v>
      </c>
      <c r="B1559" s="11" t="s">
        <v>1919</v>
      </c>
      <c r="C1559" s="14">
        <v>5</v>
      </c>
    </row>
    <row r="1560" spans="1:3">
      <c r="A1560" s="11" t="s">
        <v>1918</v>
      </c>
      <c r="B1560" s="11" t="s">
        <v>1919</v>
      </c>
      <c r="C1560" s="14">
        <v>5</v>
      </c>
    </row>
    <row r="1562" spans="1:3">
      <c r="C1562" s="14"/>
    </row>
    <row r="1563" spans="1:3">
      <c r="C1563" s="14"/>
    </row>
    <row r="1564" spans="1:3">
      <c r="C1564" s="14"/>
    </row>
  </sheetData>
  <sortState ref="E2:G1503">
    <sortCondition ref="E2:E150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Burke</dc:creator>
  <cp:lastModifiedBy>Tricia Brew</cp:lastModifiedBy>
  <dcterms:created xsi:type="dcterms:W3CDTF">2015-03-09T14:10:11Z</dcterms:created>
  <dcterms:modified xsi:type="dcterms:W3CDTF">2015-11-13T13:17:48Z</dcterms:modified>
</cp:coreProperties>
</file>